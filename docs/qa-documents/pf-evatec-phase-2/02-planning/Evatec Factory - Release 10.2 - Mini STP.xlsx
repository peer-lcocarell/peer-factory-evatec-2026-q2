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pf-evatec\peer-factory-evatec-2026-q2\docs\qa-documents\pf-evatec-phase-2\02-planning\"/>
    </mc:Choice>
  </mc:AlternateContent>
  <xr:revisionPtr revIDLastSave="0" documentId="13_ncr:1_{2055DC79-2371-4DCE-9BCB-8651108AFBDA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Overview" sheetId="1" r:id="rId1"/>
    <sheet name="CRs" sheetId="9" r:id="rId2"/>
    <sheet name="Bugs" sheetId="10" r:id="rId3"/>
    <sheet name="Test Environments &amp; VMs" sheetId="5" r:id="rId4"/>
    <sheet name="Template Info &amp; Doc Control" sheetId="3" r:id="rId5"/>
  </sheets>
  <definedNames>
    <definedName name="VSTS_7cd0c1e9_4dd5_4bc8_9da7_632c27882122_1" localSheetId="3" hidden="1">#REF!</definedName>
    <definedName name="VSTS_7cd0c1e9_4dd5_4bc8_9da7_632c27882122_1" hidden="1">#REF!</definedName>
    <definedName name="VSTS_7cd0c1e9_4dd5_4bc8_9da7_632c27882122_10010" localSheetId="3" hidden="1">#REF!</definedName>
    <definedName name="VSTS_7cd0c1e9_4dd5_4bc8_9da7_632c27882122_10010" hidden="1">#REF!</definedName>
    <definedName name="VSTS_7cd0c1e9_4dd5_4bc8_9da7_632c27882122_10011" localSheetId="3" hidden="1">#REF!</definedName>
    <definedName name="VSTS_7cd0c1e9_4dd5_4bc8_9da7_632c27882122_10011" hidden="1">#REF!</definedName>
    <definedName name="VSTS_7cd0c1e9_4dd5_4bc8_9da7_632c27882122_10019" localSheetId="3" hidden="1">#REF!</definedName>
    <definedName name="VSTS_7cd0c1e9_4dd5_4bc8_9da7_632c27882122_10019" hidden="1">#REF!</definedName>
    <definedName name="VSTS_7cd0c1e9_4dd5_4bc8_9da7_632c27882122_10020" localSheetId="3" hidden="1">#REF!</definedName>
    <definedName name="VSTS_7cd0c1e9_4dd5_4bc8_9da7_632c27882122_10020" hidden="1">#REF!</definedName>
    <definedName name="VSTS_7cd0c1e9_4dd5_4bc8_9da7_632c27882122_10030" localSheetId="3" hidden="1">#REF!</definedName>
    <definedName name="VSTS_7cd0c1e9_4dd5_4bc8_9da7_632c27882122_10030" hidden="1">#REF!</definedName>
    <definedName name="VSTS_7cd0c1e9_4dd5_4bc8_9da7_632c27882122_10243" localSheetId="3" hidden="1">#REF!</definedName>
    <definedName name="VSTS_7cd0c1e9_4dd5_4bc8_9da7_632c27882122_10243" hidden="1">#REF!</definedName>
    <definedName name="VSTS_7cd0c1e9_4dd5_4bc8_9da7_632c27882122_10249" localSheetId="3" hidden="1">#REF!</definedName>
    <definedName name="VSTS_7cd0c1e9_4dd5_4bc8_9da7_632c27882122_10249" hidden="1">#REF!</definedName>
    <definedName name="VSTS_7cd0c1e9_4dd5_4bc8_9da7_632c27882122_2" localSheetId="3" hidden="1">#REF!</definedName>
    <definedName name="VSTS_7cd0c1e9_4dd5_4bc8_9da7_632c27882122_2" hidden="1">#REF!</definedName>
    <definedName name="VSTS_7cd0c1e9_4dd5_4bc8_9da7_632c27882122_22" localSheetId="3" hidden="1">#REF!</definedName>
    <definedName name="VSTS_7cd0c1e9_4dd5_4bc8_9da7_632c27882122_22" hidden="1">#REF!</definedName>
    <definedName name="VSTS_7cd0c1e9_4dd5_4bc8_9da7_632c27882122_24" localSheetId="3" hidden="1">#REF!</definedName>
    <definedName name="VSTS_7cd0c1e9_4dd5_4bc8_9da7_632c27882122_24" hidden="1">#REF!</definedName>
    <definedName name="VSTS_7cd0c1e9_4dd5_4bc8_9da7_632c27882122_25" localSheetId="3" hidden="1">#REF!</definedName>
    <definedName name="VSTS_7cd0c1e9_4dd5_4bc8_9da7_632c27882122_25" hidden="1">#REF!</definedName>
    <definedName name="VSTS_7cd0c1e9_4dd5_4bc8_9da7_632c27882122_n105" localSheetId="3" hidden="1">#REF!</definedName>
    <definedName name="VSTS_7cd0c1e9_4dd5_4bc8_9da7_632c27882122_n105" hidden="1">#REF!</definedName>
    <definedName name="VSTS_7cd0c1e9_4dd5_4bc8_9da7_632c27882122_n3" localSheetId="3" hidden="1">#REF!</definedName>
    <definedName name="VSTS_7cd0c1e9_4dd5_4bc8_9da7_632c27882122_n3" hidden="1">#REF!</definedName>
    <definedName name="VSTS_7cd0c1e9_4dd5_4bc8_9da7_632c27882122_n7" localSheetId="3" hidden="1">#REF!</definedName>
    <definedName name="VSTS_7cd0c1e9_4dd5_4bc8_9da7_632c27882122_n7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5" i="10"/>
  <c r="E8" i="9"/>
  <c r="E7" i="1" s="1"/>
  <c r="E11" i="1" s="1"/>
  <c r="F8" i="9"/>
  <c r="F7" i="1" s="1"/>
  <c r="K26" i="1"/>
  <c r="J26" i="1"/>
  <c r="L24" i="1"/>
  <c r="L26" i="1" s="1"/>
  <c r="F24" i="1" l="1"/>
  <c r="F12" i="1"/>
  <c r="F26" i="1" s="1"/>
  <c r="D30" i="1" s="1"/>
  <c r="D33" i="1"/>
  <c r="K12" i="1"/>
  <c r="J11" i="1"/>
  <c r="D31" i="1" l="1"/>
  <c r="D32" i="1" s="1"/>
  <c r="D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Sylvia Ward</author>
  </authors>
  <commentList>
    <comment ref="H34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Please fill in with any additional comments.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Kristen Matsumoto</author>
    <author>Tina Chonko</author>
  </authors>
  <commentList>
    <comment ref="A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Kristen Matsumoto:</t>
        </r>
        <r>
          <rPr>
            <sz val="9"/>
            <color indexed="81"/>
            <rFont val="Tahoma"/>
            <family val="2"/>
          </rPr>
          <t xml:space="preserve">
It is important to specify which license to use as there are many options. If not sure, ask your manager.</t>
        </r>
      </text>
    </comment>
    <comment ref="A9" authorId="1" shapeId="0" xr:uid="{00000000-0006-0000-0100-000002000000}">
      <text>
        <r>
          <rPr>
            <b/>
            <sz val="9"/>
            <color indexed="81"/>
            <rFont val="Tahoma"/>
            <charset val="1"/>
          </rPr>
          <t>Tina Chonko:</t>
        </r>
        <r>
          <rPr>
            <sz val="9"/>
            <color indexed="81"/>
            <rFont val="Tahoma"/>
            <charset val="1"/>
          </rPr>
          <t xml:space="preserve">
If testing in a development environment, indicate the version of Visual Studio and .NET used for testing.</t>
        </r>
      </text>
    </comment>
    <comment ref="A10" authorId="1" shapeId="0" xr:uid="{00000000-0006-0000-0100-000003000000}">
      <text>
        <r>
          <rPr>
            <b/>
            <sz val="9"/>
            <color indexed="81"/>
            <rFont val="Tahoma"/>
            <charset val="1"/>
          </rPr>
          <t>Tina Chonko:</t>
        </r>
        <r>
          <rPr>
            <sz val="9"/>
            <color indexed="81"/>
            <rFont val="Tahoma"/>
            <charset val="1"/>
          </rPr>
          <t xml:space="preserve">
Indicate VM to use or if one must still be set up. View the VM List on PEERHub for details about available VMs: https://vmlist.peergroup.com/</t>
        </r>
      </text>
    </comment>
  </commentList>
</comments>
</file>

<file path=xl/sharedStrings.xml><?xml version="1.0" encoding="utf-8"?>
<sst xmlns="http://schemas.openxmlformats.org/spreadsheetml/2006/main" count="160" uniqueCount="126">
  <si>
    <t>Testing Estimate</t>
  </si>
  <si>
    <t>Consult time with Dev</t>
  </si>
  <si>
    <t>Sys-Testing \consult</t>
  </si>
  <si>
    <t>Environment Setup, installing builds</t>
  </si>
  <si>
    <t>Sys-Testing \setup</t>
  </si>
  <si>
    <t>Bug verification</t>
  </si>
  <si>
    <t>Sys-Testing\verify</t>
  </si>
  <si>
    <t>Unplanned changes / contingency</t>
  </si>
  <si>
    <t>Sys-Testing\misc</t>
  </si>
  <si>
    <t>Timekeeping</t>
  </si>
  <si>
    <t>Prepare Software Test Plan</t>
  </si>
  <si>
    <t>Sys-Testing\plan</t>
  </si>
  <si>
    <t>New Functionality</t>
  </si>
  <si>
    <t>Ad hoc testing</t>
  </si>
  <si>
    <t>Regression</t>
  </si>
  <si>
    <t>General / Other</t>
  </si>
  <si>
    <t>Budget:</t>
  </si>
  <si>
    <t>Hours:</t>
  </si>
  <si>
    <r>
      <t>Budget</t>
    </r>
    <r>
      <rPr>
        <b/>
        <sz val="12"/>
        <color theme="1"/>
        <rFont val="Calibri"/>
        <family val="2"/>
        <scheme val="minor"/>
      </rPr>
      <t xml:space="preserve"> (check TK or ask PM)</t>
    </r>
  </si>
  <si>
    <t>Estimated Effort</t>
  </si>
  <si>
    <t>Sys-Testing\write</t>
  </si>
  <si>
    <t>Sys-Testing\QA Test</t>
  </si>
  <si>
    <t>Comments</t>
  </si>
  <si>
    <t>Sys-Testing\regression</t>
  </si>
  <si>
    <t>Rqmt/CR/Bug ID</t>
  </si>
  <si>
    <t>n/a</t>
  </si>
  <si>
    <t>Writing Estimate</t>
  </si>
  <si>
    <t>Bug description</t>
  </si>
  <si>
    <t>CR description</t>
  </si>
  <si>
    <t>Work Item Type</t>
  </si>
  <si>
    <t>CR</t>
  </si>
  <si>
    <t>Assumptions, Areas Not Tested, Other supporting information:</t>
  </si>
  <si>
    <t>Total New - Testing</t>
  </si>
  <si>
    <t>Total Regression</t>
  </si>
  <si>
    <t>Total New - Writing</t>
  </si>
  <si>
    <t>Total General</t>
  </si>
  <si>
    <t>Sys-Testing\review</t>
  </si>
  <si>
    <t xml:space="preserve">Include in this section any assumptions, areas you will not be testing (but feel you should be) and any other information that will help explain your stategy, risks, etc. </t>
  </si>
  <si>
    <t>Template Version:</t>
  </si>
  <si>
    <t>Release Date:</t>
  </si>
  <si>
    <t>Document Owner:</t>
  </si>
  <si>
    <t>Sylvia Ward</t>
  </si>
  <si>
    <t>Approvers:</t>
  </si>
  <si>
    <t>Next Review Date:</t>
  </si>
  <si>
    <t>Expiration Date:</t>
  </si>
  <si>
    <t>Template Information:</t>
  </si>
  <si>
    <t>Document Control Information:</t>
  </si>
  <si>
    <t>Timekeeping
Actuals</t>
  </si>
  <si>
    <t>Get from TK</t>
  </si>
  <si>
    <t>Wrap-up: Actuals and analysis/comments</t>
  </si>
  <si>
    <t>Grand Total (estimate)</t>
  </si>
  <si>
    <t>Grand Total (actual)</t>
  </si>
  <si>
    <t>[CR ID]</t>
  </si>
  <si>
    <t>Difference (hours)</t>
  </si>
  <si>
    <t>% Difference to Budget</t>
  </si>
  <si>
    <t>1.2</t>
  </si>
  <si>
    <t>Actual Effort (hours)</t>
  </si>
  <si>
    <t>Actual Effort (% Diff to Budget)</t>
  </si>
  <si>
    <r>
      <t xml:space="preserve">This template is intended for </t>
    </r>
    <r>
      <rPr>
        <b/>
        <sz val="11"/>
        <color theme="1"/>
        <rFont val="Calibri"/>
        <family val="2"/>
        <scheme val="minor"/>
      </rPr>
      <t xml:space="preserve">small/simple projects/product releases </t>
    </r>
    <r>
      <rPr>
        <sz val="11"/>
        <color theme="1"/>
        <rFont val="Calibri"/>
        <family val="2"/>
        <scheme val="minor"/>
      </rPr>
      <t>(e.g., service packs). Use the following guidelines:
-  QA effort is ~80 hours or less. If it is more, then you need permission from your project/product Manager to use the mini-STP.
-  Only 1 QA resource. If 2 QA resources (but other criteria apply), then add a Resource column to the right of the Timekeeping column. If &gt;2 then use full STP.
-  There is no "manage" activity in the template because it is assumed it is small enough that it is not needed. It can be added if needed.
-  Do not use this STP template if testing SEMI standard changes (product) or kicking off test automation initiatives.
-  There is no "task" column because it is assumed that the Test task(s) will be linked to the Requirement/CR/Bug listed in each row.
Basically, if you find that this template requires too much modification to outline your test strategy, then use the full STP.</t>
    </r>
  </si>
  <si>
    <t>Services Management Team</t>
  </si>
  <si>
    <t>Azure Writing
Actuals</t>
  </si>
  <si>
    <t>Azure Testing
Actuals</t>
  </si>
  <si>
    <t>Get From Azure</t>
  </si>
  <si>
    <t>Comment if Azure &amp; TK significantly different</t>
  </si>
  <si>
    <t>Get from Azure</t>
  </si>
  <si>
    <t>February 10, 2022</t>
  </si>
  <si>
    <t>February 10, 2024</t>
  </si>
  <si>
    <t>May 10, 2024</t>
  </si>
  <si>
    <t>Test Environments &amp; VMs</t>
  </si>
  <si>
    <t>Every project release requires testing on a specific environment (i.e., Windows 10 Enterprise LTSC 2019, 64-bit) or on multiple environments (i.e., development environment, regression testing, etc.). It is important to clarify in this section what environment(s) and what VM(s) you will be using / will need set up. If testing on multiple environments, list each test environment and VM separately.</t>
  </si>
  <si>
    <t>Product version:</t>
  </si>
  <si>
    <t>&lt;Product name (i.e., PTO, EIB, PFSC) and version number&gt;</t>
  </si>
  <si>
    <t xml:space="preserve">License type to use: </t>
  </si>
  <si>
    <t>64bit, EDA, SECS/GEM, 300mm, E10, VA</t>
  </si>
  <si>
    <t>Test environment:</t>
  </si>
  <si>
    <t>&lt;OS system/version&gt;</t>
  </si>
  <si>
    <t>VM available:</t>
  </si>
  <si>
    <t>&lt;Yes/No&gt;</t>
  </si>
  <si>
    <t>&lt;VM Name&gt;</t>
  </si>
  <si>
    <t>Evatec Factor - Release 10.2 - Mini Software Test Plan</t>
  </si>
  <si>
    <t>Area Path</t>
  </si>
  <si>
    <t>Iteration Path</t>
  </si>
  <si>
    <t xml:space="preserve"> ID</t>
  </si>
  <si>
    <t>Title</t>
  </si>
  <si>
    <t>QA Writing Est</t>
  </si>
  <si>
    <t>QA Testing Est</t>
  </si>
  <si>
    <t>Priority (1-4)</t>
  </si>
  <si>
    <t>Link</t>
  </si>
  <si>
    <t>PFEvatec\Phase 2\R10\R10.1</t>
  </si>
  <si>
    <t>Ad Hoc Verification Time:</t>
  </si>
  <si>
    <t>Total Est Time:</t>
  </si>
  <si>
    <t>PFEvatec\WF02 (Box and Substrates)\Box Management</t>
  </si>
  <si>
    <t>Ticket #34682 - WBS Element for self-service boxes</t>
  </si>
  <si>
    <t>PFEvatec\WF06 (Logbook)\HW Config</t>
  </si>
  <si>
    <t>Ticket #34951 - Search HW components</t>
  </si>
  <si>
    <t>PFEvatec\WF06 (Logbook)\Magnet Systems</t>
  </si>
  <si>
    <t>Ticket #35008 - Tracking of magnet systems in Evatec Fabric</t>
  </si>
  <si>
    <t>Phase 2\R10\R10.2</t>
  </si>
  <si>
    <t>PFEvatec</t>
  </si>
  <si>
    <t>Ticket #34948 - Article import</t>
  </si>
  <si>
    <t>Ticket #35623 - Error: Use PDT to create the tool definition for new tool type</t>
  </si>
  <si>
    <t>Focus Priority (1-4)</t>
  </si>
  <si>
    <t>Change Request 284111: Ticket #34682 - WBS Element for self-service boxes</t>
  </si>
  <si>
    <t>Change Request 285729: Ticket #34951 - Search HW components</t>
  </si>
  <si>
    <t>Change Request 286067: Ticket #35008 - Tracking of magnet systems in Evatec Fabric</t>
  </si>
  <si>
    <t>Change Request 286836: Ticket #34948 - Article import</t>
  </si>
  <si>
    <t>Change Request 290161: Ticket #35623 - Error: Use PDT to create the tool definition for new tool type</t>
  </si>
  <si>
    <t>N/A</t>
  </si>
  <si>
    <t>Allocate ad hoc verification time for exploratory testing and validation of impacted workflows not explicitly covered by formal test cases.</t>
  </si>
  <si>
    <r>
      <rPr>
        <u/>
        <sz val="11"/>
        <color rgb="FF000000"/>
        <rFont val="Calibri"/>
        <family val="2"/>
      </rPr>
      <t>Impacts:</t>
    </r>
    <r>
      <rPr>
        <sz val="11"/>
        <color rgb="FF000000"/>
        <rFont val="Calibri"/>
        <family val="2"/>
      </rPr>
      <t xml:space="preserve">
- 2 requirements.
</t>
    </r>
    <r>
      <rPr>
        <u/>
        <sz val="11"/>
        <color rgb="FF000000"/>
        <rFont val="Calibri"/>
        <family val="2"/>
      </rPr>
      <t>QA Writing Approach:</t>
    </r>
    <r>
      <rPr>
        <sz val="11"/>
        <color rgb="FF000000"/>
        <rFont val="Calibri"/>
        <family val="2"/>
      </rPr>
      <t xml:space="preserve">
- Test cases will be created with Copilot assistance to expadite formatting and writing process, covering happy path, unhappy path, edge cases, and regression scenarios for impacted functionality.
</t>
    </r>
    <r>
      <rPr>
        <u/>
        <sz val="11"/>
        <color rgb="FF000000"/>
        <rFont val="Calibri"/>
        <family val="2"/>
      </rPr>
      <t>QA Testing Approach:</t>
    </r>
    <r>
      <rPr>
        <sz val="11"/>
        <color rgb="FF000000"/>
        <rFont val="Calibri"/>
        <family val="2"/>
      </rPr>
      <t xml:space="preserve">
- QA will verify custom import formats and mappings.
- QA will validate hardware component imports using legacy and new file formats.
- QA will confirm field mappings and numeric status values import correctly.
- QA will verify partial imports do not incorrectly deactivate valid hardware components.
- QA will perform regression testing on BOM Import, Work Order Import, and Hardware Component import workflows.
</t>
    </r>
    <r>
      <rPr>
        <u/>
        <sz val="11"/>
        <color rgb="FF000000"/>
        <rFont val="Calibri"/>
        <family val="2"/>
      </rPr>
      <t>Potential Issues:</t>
    </r>
    <r>
      <rPr>
        <sz val="11"/>
        <color rgb="FF000000"/>
        <rFont val="Calibri"/>
        <family val="2"/>
      </rPr>
      <t xml:space="preserve">
- Incorrect mappings may result in invalid imported data.
- Import framework changes could affect existing import workflows.
- Partial imports may incorrectly deactivate hardware components.
- QA will validate import behavior and responsiveness for large import files.</t>
    </r>
  </si>
  <si>
    <r>
      <rPr>
        <u/>
        <sz val="11"/>
        <color rgb="FF000000"/>
        <rFont val="Calibri"/>
        <family val="2"/>
      </rPr>
      <t xml:space="preserve">Impacts:
</t>
    </r>
    <r>
      <rPr>
        <sz val="11"/>
        <color rgb="FF000000"/>
        <rFont val="Calibri"/>
        <family val="2"/>
      </rPr>
      <t xml:space="preserve">- 3 requirements.
</t>
    </r>
    <r>
      <rPr>
        <u/>
        <sz val="11"/>
        <color rgb="FF000000"/>
        <rFont val="Calibri"/>
        <family val="2"/>
      </rPr>
      <t>QA Writing Approach:</t>
    </r>
    <r>
      <rPr>
        <sz val="11"/>
        <color rgb="FF000000"/>
        <rFont val="Calibri"/>
        <family val="2"/>
      </rPr>
      <t xml:space="preserve">
- Test case writing with assistance from Copilot for formating to expadite.Happy path and unhappy path scenarios planned with edge cases and regressions around modified requirements.
</t>
    </r>
    <r>
      <rPr>
        <u/>
        <sz val="11"/>
        <color rgb="FF000000"/>
        <rFont val="Calibri"/>
        <family val="2"/>
      </rPr>
      <t>QA Testing Approach:</t>
    </r>
    <r>
      <rPr>
        <sz val="11"/>
        <color rgb="FF000000"/>
        <rFont val="Calibri"/>
        <family val="2"/>
      </rPr>
      <t xml:space="preserve">
- Verify Search HW Components functionality across all impacted areas.
- Execute positive, negative, partial-match, and no-result search scenarios.
- Validate installed hardware components are returned correctly in search results.
- Confirm consistent filtering, search results, and display behavior across all supported pages.
</t>
    </r>
    <r>
      <rPr>
        <u/>
        <sz val="11"/>
        <color rgb="FF000000"/>
        <rFont val="Calibri"/>
        <family val="2"/>
      </rPr>
      <t>Potential Issues:</t>
    </r>
    <r>
      <rPr>
        <sz val="11"/>
        <color rgb="FF000000"/>
        <rFont val="Calibri"/>
        <family val="2"/>
      </rPr>
      <t xml:space="preserve">
- Differences in page-level data loading, indexing, or caching could lead to inconsistent search behavior across the impacted areas.</t>
    </r>
  </si>
  <si>
    <r>
      <rPr>
        <u/>
        <sz val="11"/>
        <color rgb="FF000000"/>
        <rFont val="Calibri"/>
        <family val="2"/>
      </rPr>
      <t>Impacts:</t>
    </r>
    <r>
      <rPr>
        <sz val="11"/>
        <color rgb="FF000000"/>
        <rFont val="Calibri"/>
        <family val="2"/>
      </rPr>
      <t xml:space="preserve">
- 2 requirements
</t>
    </r>
    <r>
      <rPr>
        <u/>
        <sz val="11"/>
        <color rgb="FF000000"/>
        <rFont val="Calibri"/>
        <family val="2"/>
      </rPr>
      <t>QA Writing Approach:</t>
    </r>
    <r>
      <rPr>
        <sz val="11"/>
        <color rgb="FF000000"/>
        <rFont val="Calibri"/>
        <family val="2"/>
      </rPr>
      <t xml:space="preserve">
- Test case writing with assistance from Copilot for formating to expadite. Happy path, unhappy path scenarios planned with some edge cases and regressions around modified requirements. 
</t>
    </r>
    <r>
      <rPr>
        <u/>
        <sz val="11"/>
        <color rgb="FF000000"/>
        <rFont val="Calibri"/>
        <family val="2"/>
      </rPr>
      <t>QA Testing Approach:</t>
    </r>
    <r>
      <rPr>
        <sz val="11"/>
        <color rgb="FF000000"/>
        <rFont val="Calibri"/>
        <family val="2"/>
      </rPr>
      <t xml:space="preserve">
- Verify the WBS Element field across all impacted pages.
- Create and edit self-service boxes with WBS Element values.
- Confirm WBS Element values save correctly and persist after updates.
- Validate consistent display of WBS Element values across all applicable pages.
- Verify WBS Element values remain available and functional in related workflows.
</t>
    </r>
    <r>
      <rPr>
        <u/>
        <sz val="11"/>
        <color rgb="FF000000"/>
        <rFont val="Calibri"/>
        <family val="2"/>
      </rPr>
      <t>Potential Issues:</t>
    </r>
    <r>
      <rPr>
        <sz val="11"/>
        <color rgb="FF000000"/>
        <rFont val="Calibri"/>
        <family val="2"/>
      </rPr>
      <t xml:space="preserve">
- Differences in how each page loads or caches data could lead to inconsistent WBS Element behavior.
</t>
    </r>
  </si>
  <si>
    <r>
      <rPr>
        <u/>
        <sz val="11"/>
        <color rgb="FF000000"/>
        <rFont val="Calibri"/>
        <family val="2"/>
      </rPr>
      <t>Impacts:</t>
    </r>
    <r>
      <rPr>
        <sz val="11"/>
        <color rgb="FF000000"/>
        <rFont val="Calibri"/>
        <family val="2"/>
      </rPr>
      <t xml:space="preserve">
- 0 requirements.
</t>
    </r>
    <r>
      <rPr>
        <u/>
        <sz val="11"/>
        <color rgb="FF000000"/>
        <rFont val="Calibri"/>
        <family val="2"/>
      </rPr>
      <t>Note:</t>
    </r>
    <r>
      <rPr>
        <sz val="11"/>
        <color rgb="FF000000"/>
        <rFont val="Calibri"/>
        <family val="2"/>
      </rPr>
      <t xml:space="preserve">
- This item was logged as a CR because it introduces support for a new tool type rather than fixing an existing defect.
- The change was delivered as a customer patch to unblock Hermann's tool setup activity.
- Hermann validated the fix in his environment and closed the ticket.
- No additional internal QA testing is planned.
</t>
    </r>
  </si>
  <si>
    <r>
      <rPr>
        <u/>
        <sz val="11"/>
        <color rgb="FF000000"/>
        <rFont val="Calibri"/>
        <family val="2"/>
      </rPr>
      <t xml:space="preserve">Impacts:
</t>
    </r>
    <r>
      <rPr>
        <sz val="11"/>
        <color rgb="FF000000"/>
        <rFont val="Calibri"/>
        <family val="2"/>
      </rPr>
      <t xml:space="preserve">- 32 requirements.
</t>
    </r>
    <r>
      <rPr>
        <u/>
        <sz val="11"/>
        <color rgb="FF000000"/>
        <rFont val="Calibri"/>
        <family val="2"/>
      </rPr>
      <t xml:space="preserve">QA Writing Approach:
</t>
    </r>
    <r>
      <rPr>
        <sz val="11"/>
        <color rgb="FF000000"/>
        <rFont val="Calibri"/>
        <family val="2"/>
      </rPr>
      <t xml:space="preserve">- Test case writing with assistance from Copilot for formatting to expedite. Happy path and unhappy path scenarios planned with edge cases and  targeted regression cases for the multiple impacted areas.
</t>
    </r>
    <r>
      <rPr>
        <u/>
        <sz val="11"/>
        <color rgb="FF000000"/>
        <rFont val="Calibri"/>
        <family val="2"/>
      </rPr>
      <t>QA Testing Approach:
-</t>
    </r>
    <r>
      <rPr>
        <sz val="11"/>
        <color rgb="FF000000"/>
        <rFont val="Calibri"/>
        <family val="2"/>
      </rPr>
      <t xml:space="preserve"> Verify Magnet System Type and Magnet System functionality, document management, permissions, inspection tracking, overdue calculations, and filter behavior.
- Validate lifecycle workflows: checkout, return, install, uninstall, replace, retire, and label/QR generation.
- Validate Standard to Prototype workflows including variant numbering, lineage, Article Number uniqueness, and promotion to Standard preserving associations.
- Verify Hardware Configuration integration including the new Magnet System role type and serial number enforcement.
- Validate Magnet System History and Logbook synchronization across all lifecycle events.
- Verify Export Hardware Configuration includes Magnet System details.
- Validate database migrations, entity relationships, and conversion of existing Hardware Components to Magnet Systems.
- Perform regression testing on impacted areas.
</t>
    </r>
    <r>
      <rPr>
        <u/>
        <sz val="11"/>
        <color rgb="FF000000"/>
        <rFont val="Calibri"/>
        <family val="2"/>
      </rPr>
      <t>Potential Issues:</t>
    </r>
    <r>
      <rPr>
        <sz val="11"/>
        <color rgb="FF000000"/>
        <rFont val="Calibri"/>
        <family val="2"/>
      </rPr>
      <t xml:space="preserve">
- Highest-risk area of the release with broad cross-module impact across Hardware Configuration, Logbook, History, and Export.
- Prototype lifecycle, Article Number uniqueness, and Standard/Prototype promotion may cause defects in lineage, history, or association preservation.
- Migration of existing Hardware Components and Magnet System ↔ Logbook synchronization carry the highest regression and data-integrity risk.</t>
    </r>
  </si>
  <si>
    <t>Test case and spec reviews</t>
  </si>
  <si>
    <t>Because of new feature, allowing time to consult with Nicola</t>
  </si>
  <si>
    <t>Allocating ad hoc verification time for exploratory testing and validation of impacted workflows not explicitly covered by formal test cases.</t>
  </si>
  <si>
    <t>See 'Change Requests' tab for more details.</t>
  </si>
  <si>
    <t>Bugs</t>
  </si>
  <si>
    <t>QA Verification Est</t>
  </si>
  <si>
    <t>Ticket #34217 - Article # with Project # in the Projects table</t>
  </si>
  <si>
    <t>Additional Est Verification Time:</t>
  </si>
  <si>
    <t>Bug Ticket #34217 - Article # with Project # in the Projects table</t>
  </si>
  <si>
    <t>QA will do a quick sweep of related impacted UI areas to make sure nothing breaks from change related to bug.</t>
  </si>
  <si>
    <t>Rationale: Accounts for expected incoming bugs requiring verification. Estimate is based on the average bug verification effort observed during previous releases.</t>
  </si>
  <si>
    <t>See 'Bugs' tab for more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</si>
</sst>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8"/>
      <color theme="3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5"/>
      <color rgb="FF2B4384"/>
      <name val="Candara"/>
      <family val="2"/>
    </font>
    <font>
      <sz val="11"/>
      <color rgb="FF2B4384"/>
      <name val="Candara"/>
      <family val="2"/>
    </font>
    <font>
      <b/>
      <sz val="18"/>
      <color rgb="FF2B4384"/>
      <name val="Candara"/>
      <family val="2"/>
    </font>
    <font>
      <b/>
      <sz val="18"/>
      <color theme="3"/>
      <name val="Candara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thin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/>
      <top/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theme="4"/>
      </bottom>
      <diagonal/>
    </border>
    <border>
      <left/>
      <right/>
      <top style="double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3" fillId="0" borderId="0"/>
    <xf numFmtId="0" fontId="14" fillId="0" borderId="0">
      <alignment horizontal="left"/>
    </xf>
    <xf numFmtId="0" fontId="15" fillId="0" borderId="0">
      <alignment horizontal="left" wrapText="1"/>
    </xf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26" fillId="0" borderId="0" applyNumberForma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0" fillId="0" borderId="0" xfId="0" applyNumberFormat="1"/>
    <xf numFmtId="0" fontId="3" fillId="0" borderId="0" xfId="0" applyFont="1" applyAlignment="1">
      <alignment horizontal="left" vertical="top" wrapText="1"/>
    </xf>
    <xf numFmtId="0" fontId="9" fillId="3" borderId="3" xfId="0" applyFont="1" applyFill="1" applyBorder="1"/>
    <xf numFmtId="0" fontId="3" fillId="0" borderId="0" xfId="0" applyFont="1" applyAlignment="1">
      <alignment horizontal="right" wrapText="1"/>
    </xf>
    <xf numFmtId="0" fontId="0" fillId="0" borderId="0" xfId="0" applyFont="1" applyFill="1" applyAlignment="1">
      <alignment horizontal="left" vertical="top" wrapText="1"/>
    </xf>
    <xf numFmtId="0" fontId="0" fillId="0" borderId="0" xfId="0" applyFill="1" applyBorder="1"/>
    <xf numFmtId="0" fontId="9" fillId="0" borderId="0" xfId="0" applyFont="1" applyFill="1" applyBorder="1"/>
    <xf numFmtId="0" fontId="0" fillId="0" borderId="0" xfId="0" applyBorder="1"/>
    <xf numFmtId="0" fontId="10" fillId="0" borderId="0" xfId="0" applyFont="1" applyFill="1" applyBorder="1"/>
    <xf numFmtId="0" fontId="3" fillId="0" borderId="0" xfId="0" applyFont="1" applyAlignment="1">
      <alignment horizontal="left" wrapText="1"/>
    </xf>
    <xf numFmtId="0" fontId="0" fillId="0" borderId="0" xfId="0"/>
    <xf numFmtId="0" fontId="6" fillId="0" borderId="0" xfId="0" applyNumberFormat="1" applyFont="1" applyFill="1"/>
    <xf numFmtId="0" fontId="3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0" fillId="0" borderId="6" xfId="0" applyBorder="1"/>
    <xf numFmtId="0" fontId="9" fillId="3" borderId="8" xfId="0" applyFont="1" applyFill="1" applyBorder="1"/>
    <xf numFmtId="0" fontId="9" fillId="3" borderId="4" xfId="0" applyFont="1" applyFill="1" applyBorder="1"/>
    <xf numFmtId="10" fontId="9" fillId="3" borderId="9" xfId="0" applyNumberFormat="1" applyFont="1" applyFill="1" applyBorder="1"/>
    <xf numFmtId="10" fontId="9" fillId="3" borderId="4" xfId="0" applyNumberFormat="1" applyFont="1" applyFill="1" applyBorder="1"/>
    <xf numFmtId="0" fontId="9" fillId="3" borderId="5" xfId="0" applyFont="1" applyFill="1" applyBorder="1"/>
    <xf numFmtId="0" fontId="3" fillId="0" borderId="10" xfId="3" applyBorder="1" applyAlignment="1">
      <alignment wrapText="1"/>
    </xf>
    <xf numFmtId="0" fontId="3" fillId="0" borderId="10" xfId="3" applyBorder="1"/>
    <xf numFmtId="0" fontId="19" fillId="0" borderId="0" xfId="1" applyFont="1" applyBorder="1"/>
    <xf numFmtId="0" fontId="16" fillId="0" borderId="0" xfId="0" applyFont="1" applyBorder="1"/>
    <xf numFmtId="0" fontId="9" fillId="2" borderId="2" xfId="3" applyFont="1" applyFill="1" applyAlignment="1">
      <alignment wrapText="1"/>
    </xf>
    <xf numFmtId="0" fontId="3" fillId="0" borderId="10" xfId="3" applyFont="1" applyBorder="1" applyAlignment="1">
      <alignment wrapText="1"/>
    </xf>
    <xf numFmtId="49" fontId="0" fillId="0" borderId="0" xfId="0" applyNumberFormat="1"/>
    <xf numFmtId="0" fontId="0" fillId="0" borderId="0" xfId="0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16" fillId="0" borderId="12" xfId="0" applyFont="1" applyBorder="1"/>
    <xf numFmtId="0" fontId="3" fillId="0" borderId="15" xfId="3" applyBorder="1"/>
    <xf numFmtId="164" fontId="0" fillId="0" borderId="0" xfId="0" applyNumberFormat="1" applyBorder="1"/>
    <xf numFmtId="0" fontId="3" fillId="2" borderId="0" xfId="0" applyFont="1" applyFill="1" applyBorder="1"/>
    <xf numFmtId="0" fontId="0" fillId="0" borderId="0" xfId="0" applyBorder="1" applyAlignment="1">
      <alignment vertical="top" wrapText="1"/>
    </xf>
    <xf numFmtId="0" fontId="9" fillId="2" borderId="6" xfId="0" applyNumberFormat="1" applyFont="1" applyFill="1" applyBorder="1"/>
    <xf numFmtId="164" fontId="0" fillId="0" borderId="6" xfId="0" applyNumberFormat="1" applyBorder="1"/>
    <xf numFmtId="0" fontId="0" fillId="0" borderId="6" xfId="0" applyBorder="1" applyAlignment="1">
      <alignment vertical="top" wrapText="1"/>
    </xf>
    <xf numFmtId="0" fontId="0" fillId="0" borderId="0" xfId="0" applyFill="1"/>
    <xf numFmtId="0" fontId="3" fillId="0" borderId="6" xfId="0" applyFont="1" applyFill="1" applyBorder="1"/>
    <xf numFmtId="0" fontId="0" fillId="0" borderId="18" xfId="0" applyBorder="1"/>
    <xf numFmtId="0" fontId="6" fillId="0" borderId="19" xfId="0" applyNumberFormat="1" applyFont="1" applyFill="1" applyBorder="1"/>
    <xf numFmtId="0" fontId="6" fillId="0" borderId="14" xfId="0" applyNumberFormat="1" applyFont="1" applyFill="1" applyBorder="1"/>
    <xf numFmtId="0" fontId="6" fillId="0" borderId="20" xfId="0" applyNumberFormat="1" applyFont="1" applyFill="1" applyBorder="1"/>
    <xf numFmtId="0" fontId="0" fillId="0" borderId="16" xfId="0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0" fontId="0" fillId="0" borderId="0" xfId="0" applyFont="1"/>
    <xf numFmtId="0" fontId="0" fillId="0" borderId="0" xfId="0" applyFont="1" applyAlignment="1">
      <alignment horizontal="right"/>
    </xf>
    <xf numFmtId="0" fontId="6" fillId="0" borderId="17" xfId="0" applyFont="1" applyFill="1" applyBorder="1" applyAlignment="1">
      <alignment horizontal="left"/>
    </xf>
    <xf numFmtId="0" fontId="6" fillId="0" borderId="18" xfId="0" applyNumberFormat="1" applyFont="1" applyFill="1" applyBorder="1"/>
    <xf numFmtId="0" fontId="0" fillId="0" borderId="17" xfId="0" applyBorder="1"/>
    <xf numFmtId="0" fontId="6" fillId="0" borderId="18" xfId="0" applyNumberFormat="1" applyFont="1" applyFill="1" applyBorder="1" applyAlignment="1">
      <alignment horizontal="right"/>
    </xf>
    <xf numFmtId="0" fontId="6" fillId="0" borderId="13" xfId="0" applyFont="1" applyFill="1" applyBorder="1" applyAlignment="1">
      <alignment horizontal="left"/>
    </xf>
    <xf numFmtId="0" fontId="0" fillId="0" borderId="14" xfId="0" applyBorder="1"/>
    <xf numFmtId="0" fontId="0" fillId="0" borderId="13" xfId="0" applyBorder="1"/>
    <xf numFmtId="0" fontId="5" fillId="0" borderId="14" xfId="0" applyFont="1" applyBorder="1" applyAlignment="1">
      <alignment wrapText="1"/>
    </xf>
    <xf numFmtId="0" fontId="6" fillId="0" borderId="21" xfId="0" applyFont="1" applyFill="1" applyBorder="1" applyAlignment="1">
      <alignment horizontal="left"/>
    </xf>
    <xf numFmtId="0" fontId="0" fillId="0" borderId="22" xfId="0" applyBorder="1"/>
    <xf numFmtId="0" fontId="7" fillId="0" borderId="22" xfId="0" applyFont="1" applyFill="1" applyBorder="1"/>
    <xf numFmtId="0" fontId="0" fillId="0" borderId="22" xfId="0" applyBorder="1" applyAlignment="1">
      <alignment wrapText="1"/>
    </xf>
    <xf numFmtId="0" fontId="5" fillId="0" borderId="22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22" xfId="0" applyNumberFormat="1" applyFont="1" applyFill="1" applyBorder="1"/>
    <xf numFmtId="0" fontId="0" fillId="0" borderId="21" xfId="0" applyBorder="1"/>
    <xf numFmtId="0" fontId="3" fillId="0" borderId="23" xfId="0" applyFont="1" applyBorder="1" applyAlignment="1">
      <alignment horizontal="right"/>
    </xf>
    <xf numFmtId="0" fontId="3" fillId="0" borderId="22" xfId="0" applyFont="1" applyBorder="1"/>
    <xf numFmtId="0" fontId="3" fillId="0" borderId="11" xfId="3" applyBorder="1"/>
    <xf numFmtId="0" fontId="3" fillId="0" borderId="22" xfId="0" applyFont="1" applyBorder="1" applyAlignment="1">
      <alignment horizontal="right"/>
    </xf>
    <xf numFmtId="1" fontId="9" fillId="3" borderId="24" xfId="0" applyNumberFormat="1" applyFont="1" applyFill="1" applyBorder="1"/>
    <xf numFmtId="0" fontId="0" fillId="4" borderId="6" xfId="0" applyFill="1" applyBorder="1" applyAlignment="1"/>
    <xf numFmtId="0" fontId="0" fillId="4" borderId="0" xfId="0" applyFont="1" applyFill="1" applyBorder="1" applyAlignment="1"/>
    <xf numFmtId="0" fontId="0" fillId="4" borderId="0" xfId="0" applyFont="1" applyFill="1" applyAlignment="1"/>
    <xf numFmtId="0" fontId="0" fillId="4" borderId="0" xfId="0" applyFill="1" applyAlignment="1"/>
    <xf numFmtId="0" fontId="0" fillId="4" borderId="0" xfId="0" applyFill="1" applyBorder="1" applyAlignment="1"/>
    <xf numFmtId="0" fontId="0" fillId="0" borderId="23" xfId="0" applyBorder="1" applyAlignment="1">
      <alignment wrapText="1"/>
    </xf>
    <xf numFmtId="0" fontId="0" fillId="0" borderId="0" xfId="0" applyAlignment="1"/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4" fillId="3" borderId="7" xfId="2" applyFont="1" applyFill="1" applyBorder="1" applyAlignment="1">
      <alignment wrapText="1"/>
    </xf>
    <xf numFmtId="0" fontId="24" fillId="0" borderId="0" xfId="1" applyFont="1" applyBorder="1"/>
    <xf numFmtId="0" fontId="25" fillId="0" borderId="0" xfId="4" applyFont="1"/>
    <xf numFmtId="0" fontId="27" fillId="0" borderId="0" xfId="0" applyFont="1"/>
    <xf numFmtId="1" fontId="27" fillId="0" borderId="0" xfId="0" applyNumberFormat="1" applyFont="1" applyAlignment="1">
      <alignment horizontal="left"/>
    </xf>
    <xf numFmtId="49" fontId="27" fillId="0" borderId="0" xfId="0" applyNumberFormat="1" applyFont="1"/>
    <xf numFmtId="0" fontId="30" fillId="0" borderId="0" xfId="0" applyFont="1" applyAlignment="1">
      <alignment wrapText="1"/>
    </xf>
    <xf numFmtId="0" fontId="29" fillId="0" borderId="0" xfId="20" applyFont="1"/>
    <xf numFmtId="0" fontId="6" fillId="0" borderId="0" xfId="0" applyFont="1"/>
    <xf numFmtId="0" fontId="27" fillId="0" borderId="0" xfId="0" applyFont="1" applyAlignment="1">
      <alignment wrapText="1"/>
    </xf>
    <xf numFmtId="0" fontId="29" fillId="0" borderId="0" xfId="20" applyFont="1" applyFill="1"/>
    <xf numFmtId="0" fontId="31" fillId="0" borderId="0" xfId="0" applyFont="1"/>
    <xf numFmtId="0" fontId="27" fillId="0" borderId="0" xfId="0" applyFont="1" applyAlignment="1">
      <alignment horizontal="left"/>
    </xf>
    <xf numFmtId="0" fontId="0" fillId="0" borderId="0" xfId="0"/>
    <xf numFmtId="0" fontId="7" fillId="4" borderId="25" xfId="2" applyFont="1" applyFill="1" applyBorder="1" applyAlignment="1">
      <alignment wrapText="1"/>
    </xf>
    <xf numFmtId="0" fontId="6" fillId="0" borderId="25" xfId="3" applyFont="1" applyBorder="1"/>
    <xf numFmtId="0" fontId="6" fillId="0" borderId="25" xfId="3" applyFont="1" applyBorder="1" applyAlignment="1">
      <alignment wrapText="1"/>
    </xf>
    <xf numFmtId="0" fontId="28" fillId="0" borderId="25" xfId="2" applyFont="1" applyFill="1" applyBorder="1"/>
    <xf numFmtId="2" fontId="0" fillId="0" borderId="0" xfId="0" applyNumberFormat="1"/>
    <xf numFmtId="0" fontId="34" fillId="5" borderId="26" xfId="0" applyFont="1" applyFill="1" applyBorder="1" applyAlignment="1">
      <alignment horizontal="center" vertical="center" wrapText="1"/>
    </xf>
    <xf numFmtId="0" fontId="32" fillId="5" borderId="25" xfId="0" applyFont="1" applyFill="1" applyBorder="1" applyAlignment="1">
      <alignment horizontal="left" vertical="top" wrapText="1"/>
    </xf>
    <xf numFmtId="0" fontId="32" fillId="5" borderId="25" xfId="0" applyFont="1" applyFill="1" applyBorder="1" applyAlignment="1">
      <alignment vertical="top" wrapText="1"/>
    </xf>
    <xf numFmtId="0" fontId="32" fillId="5" borderId="25" xfId="0" applyFont="1" applyFill="1" applyBorder="1" applyAlignment="1">
      <alignment horizontal="center" vertical="top" wrapText="1"/>
    </xf>
    <xf numFmtId="0" fontId="32" fillId="6" borderId="25" xfId="0" applyFont="1" applyFill="1" applyBorder="1" applyAlignment="1">
      <alignment horizontal="left" vertical="top" wrapText="1"/>
    </xf>
    <xf numFmtId="1" fontId="34" fillId="6" borderId="25" xfId="0" applyNumberFormat="1" applyFont="1" applyFill="1" applyBorder="1" applyAlignment="1">
      <alignment horizontal="center" vertical="top" wrapText="1"/>
    </xf>
    <xf numFmtId="0" fontId="34" fillId="7" borderId="25" xfId="0" applyFont="1" applyFill="1" applyBorder="1" applyAlignment="1">
      <alignment vertical="top" wrapText="1"/>
    </xf>
    <xf numFmtId="2" fontId="34" fillId="8" borderId="25" xfId="0" applyNumberFormat="1" applyFont="1" applyFill="1" applyBorder="1" applyAlignment="1">
      <alignment horizontal="center" vertical="top" wrapText="1"/>
    </xf>
    <xf numFmtId="1" fontId="34" fillId="7" borderId="25" xfId="0" applyNumberFormat="1" applyFont="1" applyFill="1" applyBorder="1" applyAlignment="1">
      <alignment horizontal="center" vertical="top" wrapText="1"/>
    </xf>
    <xf numFmtId="2" fontId="34" fillId="5" borderId="25" xfId="0" applyNumberFormat="1" applyFont="1" applyFill="1" applyBorder="1" applyAlignment="1">
      <alignment horizontal="center" vertical="top" wrapText="1"/>
    </xf>
    <xf numFmtId="1" fontId="34" fillId="0" borderId="25" xfId="0" applyNumberFormat="1" applyFont="1" applyBorder="1" applyAlignment="1">
      <alignment horizontal="center" vertical="top" wrapText="1"/>
    </xf>
    <xf numFmtId="1" fontId="32" fillId="7" borderId="25" xfId="0" applyNumberFormat="1" applyFont="1" applyFill="1" applyBorder="1" applyAlignment="1">
      <alignment horizontal="center" vertical="top" wrapText="1"/>
    </xf>
    <xf numFmtId="0" fontId="26" fillId="5" borderId="25" xfId="20" applyFill="1" applyBorder="1" applyAlignment="1">
      <alignment horizontal="left" vertical="top" wrapText="1"/>
    </xf>
    <xf numFmtId="2" fontId="34" fillId="9" borderId="25" xfId="0" applyNumberFormat="1" applyFont="1" applyFill="1" applyBorder="1" applyAlignment="1">
      <alignment horizontal="center" vertical="top" wrapText="1"/>
    </xf>
    <xf numFmtId="0" fontId="35" fillId="0" borderId="0" xfId="0" applyFont="1" applyAlignment="1">
      <alignment vertical="top" wrapText="1"/>
    </xf>
    <xf numFmtId="0" fontId="0" fillId="0" borderId="25" xfId="0" applyFont="1" applyBorder="1" applyAlignment="1">
      <alignment horizontal="left" vertical="top"/>
    </xf>
    <xf numFmtId="0" fontId="0" fillId="0" borderId="25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10" borderId="25" xfId="0" applyFont="1" applyFill="1" applyBorder="1" applyAlignment="1">
      <alignment horizontal="center" vertical="top"/>
    </xf>
    <xf numFmtId="0" fontId="0" fillId="0" borderId="25" xfId="0" applyFont="1" applyBorder="1" applyAlignment="1">
      <alignment horizontal="left" vertical="top" wrapText="1"/>
    </xf>
    <xf numFmtId="0" fontId="26" fillId="0" borderId="25" xfId="20" applyFont="1" applyBorder="1" applyAlignment="1">
      <alignment horizontal="left" vertical="top"/>
    </xf>
    <xf numFmtId="0" fontId="0" fillId="0" borderId="25" xfId="0" applyFont="1" applyBorder="1"/>
    <xf numFmtId="0" fontId="0" fillId="0" borderId="25" xfId="0" applyFont="1" applyBorder="1" applyAlignment="1">
      <alignment horizontal="left"/>
    </xf>
    <xf numFmtId="0" fontId="3" fillId="0" borderId="25" xfId="0" applyFont="1" applyBorder="1" applyAlignment="1">
      <alignment wrapText="1"/>
    </xf>
    <xf numFmtId="0" fontId="3" fillId="0" borderId="25" xfId="0" applyFont="1" applyBorder="1" applyAlignment="1">
      <alignment horizontal="center"/>
    </xf>
    <xf numFmtId="0" fontId="0" fillId="0" borderId="25" xfId="0" applyFont="1" applyBorder="1" applyAlignment="1">
      <alignment vertical="top" wrapText="1"/>
    </xf>
    <xf numFmtId="0" fontId="26" fillId="0" borderId="25" xfId="20" applyFont="1" applyBorder="1"/>
    <xf numFmtId="1" fontId="0" fillId="0" borderId="25" xfId="0" applyNumberFormat="1" applyFont="1" applyBorder="1" applyAlignment="1">
      <alignment horizontal="left"/>
    </xf>
    <xf numFmtId="49" fontId="0" fillId="0" borderId="25" xfId="0" applyNumberFormat="1" applyFont="1" applyBorder="1"/>
    <xf numFmtId="0" fontId="3" fillId="2" borderId="25" xfId="0" applyFont="1" applyFill="1" applyBorder="1" applyAlignment="1">
      <alignment horizontal="center"/>
    </xf>
    <xf numFmtId="0" fontId="0" fillId="0" borderId="25" xfId="0" applyFont="1" applyBorder="1" applyAlignment="1">
      <alignment wrapText="1"/>
    </xf>
    <xf numFmtId="0" fontId="11" fillId="0" borderId="25" xfId="0" applyFont="1" applyBorder="1"/>
    <xf numFmtId="0" fontId="3" fillId="0" borderId="0" xfId="0" applyFont="1" applyBorder="1" applyAlignment="1">
      <alignment horizontal="center" wrapText="1"/>
    </xf>
    <xf numFmtId="0" fontId="9" fillId="2" borderId="0" xfId="3" applyFont="1" applyFill="1" applyBorder="1" applyAlignment="1">
      <alignment wrapText="1"/>
    </xf>
    <xf numFmtId="0" fontId="0" fillId="0" borderId="0" xfId="0" applyAlignment="1"/>
    <xf numFmtId="0" fontId="22" fillId="4" borderId="0" xfId="2" applyFont="1" applyFill="1" applyBorder="1" applyAlignment="1">
      <alignment wrapText="1"/>
    </xf>
    <xf numFmtId="0" fontId="23" fillId="4" borderId="0" xfId="0" applyFont="1" applyFill="1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21">
    <cellStyle name="Case Description" xfId="8" xr:uid="{00000000-0005-0000-0000-000000000000}"/>
    <cellStyle name="Case Name" xfId="7" xr:uid="{00000000-0005-0000-0000-000001000000}"/>
    <cellStyle name="Heading 1" xfId="2" builtinId="16"/>
    <cellStyle name="Hyperlink" xfId="20" builtinId="8"/>
    <cellStyle name="Normal" xfId="0" builtinId="0"/>
    <cellStyle name="Normal 10" xfId="5" xr:uid="{00000000-0005-0000-0000-000004000000}"/>
    <cellStyle name="Normal 11" xfId="18" xr:uid="{00000000-0005-0000-0000-000005000000}"/>
    <cellStyle name="Normal 11 2" xfId="19" xr:uid="{00000000-0005-0000-0000-000006000000}"/>
    <cellStyle name="Normal 2" xfId="6" xr:uid="{00000000-0005-0000-0000-000007000000}"/>
    <cellStyle name="Normal 2 2" xfId="11" xr:uid="{00000000-0005-0000-0000-000008000000}"/>
    <cellStyle name="Normal 3" xfId="9" xr:uid="{00000000-0005-0000-0000-000009000000}"/>
    <cellStyle name="Normal 3 2" xfId="12" xr:uid="{00000000-0005-0000-0000-00000A000000}"/>
    <cellStyle name="Normal 4" xfId="10" xr:uid="{00000000-0005-0000-0000-00000B000000}"/>
    <cellStyle name="Normal 5" xfId="13" xr:uid="{00000000-0005-0000-0000-00000C000000}"/>
    <cellStyle name="Normal 6" xfId="15" xr:uid="{00000000-0005-0000-0000-00000D000000}"/>
    <cellStyle name="Normal 7" xfId="14" xr:uid="{00000000-0005-0000-0000-00000E000000}"/>
    <cellStyle name="Normal 8" xfId="16" xr:uid="{00000000-0005-0000-0000-00000F000000}"/>
    <cellStyle name="Normal 9" xfId="17" xr:uid="{00000000-0005-0000-0000-000010000000}"/>
    <cellStyle name="Title" xfId="1" builtinId="15"/>
    <cellStyle name="Title 2" xfId="4" xr:uid="{00000000-0005-0000-0000-000012000000}"/>
    <cellStyle name="Total" xfId="3" builtinId="25"/>
  </cellStyles>
  <dxfs count="19">
    <dxf>
      <font>
        <b val="0"/>
        <i val="0"/>
        <color rgb="FF000000"/>
      </font>
      <fill>
        <patternFill patternType="solid">
          <fgColor indexed="64"/>
          <bgColor rgb="FFC6E0B4"/>
        </patternFill>
      </fill>
    </dxf>
    <dxf>
      <font>
        <b val="0"/>
        <i val="0"/>
        <color rgb="FF000000"/>
      </font>
      <fill>
        <patternFill patternType="solid">
          <fgColor indexed="64"/>
          <bgColor rgb="FFFFD966"/>
        </patternFill>
      </fill>
    </dxf>
    <dxf>
      <font>
        <b val="0"/>
        <i val="0"/>
        <color rgb="FF000000"/>
      </font>
      <fill>
        <patternFill patternType="solid">
          <fgColor indexed="64"/>
          <bgColor rgb="FFF4B183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sz val="11"/>
        <color rgb="FF0563C1"/>
        <name val="Calibri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  <color rgb="FF000000"/>
        <name val="Calibri"/>
      </font>
      <fill>
        <patternFill patternType="solid">
          <fgColor indexed="64"/>
          <bgColor rgb="FFF2F2F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z val="11"/>
        <color rgb="FF000000"/>
        <name val="Calibri"/>
      </font>
      <numFmt numFmtId="1" formatCode="0"/>
      <fill>
        <patternFill patternType="none">
          <fgColor indexed="64"/>
          <bgColor rgb="FFFFFFFF"/>
        </patternFill>
      </fill>
      <alignment horizontal="center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  <color rgb="FF000000"/>
        <name val="Calibri"/>
      </font>
      <numFmt numFmtId="2" formatCode="0.00"/>
      <fill>
        <patternFill patternType="solid">
          <fgColor indexed="64"/>
          <bgColor rgb="FFFFFFFF"/>
        </patternFill>
      </fill>
      <alignment horizontal="center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  <color rgb="FF000000"/>
        <name val="Calibri"/>
      </font>
      <numFmt numFmtId="2" formatCode="0.00"/>
      <fill>
        <patternFill patternType="solid">
          <fgColor indexed="64"/>
          <bgColor rgb="FFFFFFFF"/>
        </patternFill>
      </fill>
      <alignment horizontal="center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center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vertical="top" wrapText="1"/>
    </dxf>
    <dxf>
      <border>
        <bottom style="thin">
          <color rgb="FF4F81BD"/>
        </bottom>
      </border>
    </dxf>
    <dxf>
      <font>
        <b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/>
      </border>
    </dxf>
  </dxfs>
  <tableStyles count="0" defaultTableStyle="TableStyleMedium2" defaultPivotStyle="PivotStyleLight16"/>
  <colors>
    <mruColors>
      <color rgb="FF2B4384"/>
      <color rgb="FFFF9999"/>
      <color rgb="FF3C5FF4"/>
      <color rgb="FFFF66CC"/>
      <color rgb="FFD55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640D10-1089-4A7A-BEA5-77E74CE3A88B}" name="QA_Change_Requests" displayName="QA_Change_Requests" ref="A1:I6" totalsRowShown="0" headerRowDxfId="18" dataDxfId="16" headerRowBorderDxfId="17">
  <autoFilter ref="A1:I6" xr:uid="{2F640D10-1089-4A7A-BEA5-77E74CE3A88B}"/>
  <sortState xmlns:xlrd2="http://schemas.microsoft.com/office/spreadsheetml/2017/richdata2" ref="A2:I6">
    <sortCondition ref="G3:G7"/>
  </sortState>
  <tableColumns count="9">
    <tableColumn id="1" xr3:uid="{B7C7CEE5-EF46-41AE-992B-9DBD6D4C151E}" name="Area Path" dataDxfId="15"/>
    <tableColumn id="2" xr3:uid="{F116C23D-3BED-4DF5-92D1-8CD8622B6A7D}" name="Iteration Path" dataDxfId="14"/>
    <tableColumn id="3" xr3:uid="{C81806BF-29A3-47FC-B49A-7AAB1C6E25C4}" name=" ID" dataDxfId="13"/>
    <tableColumn id="4" xr3:uid="{67F0FEB9-6BFD-4E66-A326-EF8911840CC5}" name="Title" dataDxfId="12"/>
    <tableColumn id="6" xr3:uid="{22880143-C708-45D4-96AC-AA73030E9407}" name="QA Writing Est" dataDxfId="11"/>
    <tableColumn id="7" xr3:uid="{E92F5395-A09A-4150-ABFF-24FBFC825BC4}" name="QA Testing Est" dataDxfId="10"/>
    <tableColumn id="8" xr3:uid="{8457B38B-1854-4C29-A60A-C191DD1748D9}" name="Focus Priority (1-4)" dataDxfId="9"/>
    <tableColumn id="9" xr3:uid="{5D6B3B2F-25DE-4070-9CD9-E62F6C5A76A0}" name="Comments" dataDxfId="8"/>
    <tableColumn id="10" xr3:uid="{F2D4784D-60ED-43C8-91CC-7EBB191CD699}" name="Link" dataDxfId="7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s1.peergroup.com/DefaultCollection/PFEvatec/_workitems/edit/286836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ops1.peergroup.com/DefaultCollection/PFEvatec/_workitems/edit/284111" TargetMode="External"/><Relationship Id="rId1" Type="http://schemas.openxmlformats.org/officeDocument/2006/relationships/hyperlink" Target="https://ops1.peergroup.com/DefaultCollection/PFEvatec/_workitems/edit/290161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ops1.peergroup.com/DefaultCollection/PFEvatec/_workitems/edit/285729" TargetMode="External"/><Relationship Id="rId4" Type="http://schemas.openxmlformats.org/officeDocument/2006/relationships/hyperlink" Target="https://ops1.peergroup.com/DefaultCollection/PFEvatec/_workitems/edit/28606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ops1.peergroup.com/DefaultCollection/PFEvatec/_workitems/edit/28579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C8" sqref="C8"/>
    </sheetView>
  </sheetViews>
  <sheetFormatPr defaultRowHeight="14.3" x14ac:dyDescent="0.25"/>
  <cols>
    <col min="1" max="1" width="10.375" style="15" customWidth="1"/>
    <col min="2" max="2" width="15.25" customWidth="1"/>
    <col min="3" max="3" width="36.625" customWidth="1"/>
    <col min="4" max="4" width="22.75" customWidth="1"/>
    <col min="5" max="5" width="13" customWidth="1"/>
    <col min="6" max="6" width="12.25" customWidth="1"/>
    <col min="7" max="7" width="0.75" hidden="1" customWidth="1"/>
    <col min="8" max="8" width="70.875" style="12" customWidth="1"/>
    <col min="9" max="9" width="23.625" style="19" customWidth="1"/>
    <col min="10" max="10" width="14.75" style="12" customWidth="1"/>
    <col min="11" max="11" width="14.75" customWidth="1"/>
    <col min="12" max="12" width="14" style="15" customWidth="1"/>
    <col min="13" max="13" width="48.75" customWidth="1"/>
  </cols>
  <sheetData>
    <row r="1" spans="1:13" s="12" customFormat="1" ht="23.95" customHeight="1" x14ac:dyDescent="0.35">
      <c r="A1" s="85" t="s">
        <v>79</v>
      </c>
      <c r="H1" s="36"/>
      <c r="I1" s="28"/>
      <c r="J1" s="32"/>
    </row>
    <row r="2" spans="1:13" s="12" customFormat="1" ht="23.3" customHeight="1" x14ac:dyDescent="0.35">
      <c r="C2" s="27"/>
      <c r="H2" s="36"/>
      <c r="I2" s="135" t="s">
        <v>49</v>
      </c>
      <c r="J2" s="135"/>
      <c r="K2" s="135"/>
      <c r="L2" s="135"/>
      <c r="M2" s="135"/>
    </row>
    <row r="3" spans="1:13" ht="45.7" thickBot="1" x14ac:dyDescent="0.3">
      <c r="A3" s="25" t="s">
        <v>24</v>
      </c>
      <c r="B3" s="30" t="s">
        <v>29</v>
      </c>
      <c r="C3" s="26"/>
      <c r="D3" s="25" t="s">
        <v>9</v>
      </c>
      <c r="E3" s="25" t="s">
        <v>26</v>
      </c>
      <c r="F3" s="25" t="s">
        <v>0</v>
      </c>
      <c r="G3" s="12"/>
      <c r="H3" s="37" t="s">
        <v>22</v>
      </c>
      <c r="I3" s="72"/>
      <c r="J3" s="25" t="s">
        <v>60</v>
      </c>
      <c r="K3" s="25" t="s">
        <v>61</v>
      </c>
      <c r="L3" s="25" t="s">
        <v>47</v>
      </c>
      <c r="M3" s="25" t="s">
        <v>22</v>
      </c>
    </row>
    <row r="4" spans="1:13" ht="16.5" thickTop="1" x14ac:dyDescent="0.25">
      <c r="C4" s="4" t="s">
        <v>10</v>
      </c>
      <c r="D4" t="s">
        <v>11</v>
      </c>
      <c r="F4" s="16">
        <v>7</v>
      </c>
      <c r="J4" s="50"/>
      <c r="K4" s="51"/>
      <c r="L4" s="52" t="s">
        <v>48</v>
      </c>
    </row>
    <row r="5" spans="1:13" ht="14.95" x14ac:dyDescent="0.25">
      <c r="C5" s="4"/>
      <c r="F5" s="2"/>
      <c r="J5" s="33"/>
      <c r="K5" s="52"/>
    </row>
    <row r="6" spans="1:13" s="44" customFormat="1" ht="15.65" x14ac:dyDescent="0.35">
      <c r="A6" s="138" t="s">
        <v>12</v>
      </c>
      <c r="B6" s="139"/>
      <c r="C6" s="139"/>
      <c r="D6" s="139"/>
      <c r="E6" s="139"/>
      <c r="F6" s="139"/>
      <c r="G6" s="139"/>
      <c r="H6" s="139"/>
      <c r="I6" s="75"/>
      <c r="J6" s="76"/>
      <c r="K6" s="77"/>
      <c r="L6" s="78"/>
      <c r="M6" s="78"/>
    </row>
    <row r="7" spans="1:13" ht="15.8" customHeight="1" x14ac:dyDescent="0.25">
      <c r="A7" t="s">
        <v>52</v>
      </c>
      <c r="B7" t="s">
        <v>30</v>
      </c>
      <c r="C7" s="4" t="s">
        <v>28</v>
      </c>
      <c r="D7" s="15"/>
      <c r="E7" s="102">
        <f>CRs!E8</f>
        <v>11.5</v>
      </c>
      <c r="F7" s="102">
        <f>CRs!F8</f>
        <v>35</v>
      </c>
      <c r="H7" s="12" t="s">
        <v>117</v>
      </c>
      <c r="J7" s="51" t="s">
        <v>62</v>
      </c>
      <c r="K7" s="51" t="s">
        <v>62</v>
      </c>
    </row>
    <row r="8" spans="1:13" s="97" customFormat="1" ht="15.8" customHeight="1" x14ac:dyDescent="0.25">
      <c r="B8" s="97" t="s">
        <v>118</v>
      </c>
      <c r="C8" s="4" t="s">
        <v>27</v>
      </c>
      <c r="E8" s="102"/>
      <c r="F8" s="102">
        <f>Bugs!F3</f>
        <v>0.5</v>
      </c>
      <c r="H8" s="12" t="s">
        <v>125</v>
      </c>
      <c r="I8" s="19"/>
      <c r="J8" s="51"/>
      <c r="K8" s="51"/>
    </row>
    <row r="9" spans="1:13" ht="15.8" customHeight="1" x14ac:dyDescent="0.25">
      <c r="B9" t="s">
        <v>25</v>
      </c>
      <c r="C9" s="4" t="s">
        <v>13</v>
      </c>
      <c r="D9" t="s">
        <v>21</v>
      </c>
      <c r="F9" s="102">
        <v>3</v>
      </c>
      <c r="H9" s="12" t="s">
        <v>117</v>
      </c>
      <c r="J9" s="51" t="s">
        <v>62</v>
      </c>
      <c r="K9" s="51" t="s">
        <v>62</v>
      </c>
    </row>
    <row r="10" spans="1:13" x14ac:dyDescent="0.25">
      <c r="C10" s="4"/>
      <c r="F10" s="5"/>
      <c r="J10" s="34"/>
    </row>
    <row r="11" spans="1:13" s="15" customFormat="1" ht="15.8" customHeight="1" x14ac:dyDescent="0.3">
      <c r="C11" s="54" t="s">
        <v>34</v>
      </c>
      <c r="D11" s="46" t="s">
        <v>20</v>
      </c>
      <c r="E11" s="55">
        <f>SUM(E7:E10)</f>
        <v>11.5</v>
      </c>
      <c r="F11" s="55"/>
      <c r="G11" s="46"/>
      <c r="H11" s="46" t="s">
        <v>117</v>
      </c>
      <c r="I11" s="56"/>
      <c r="J11" s="57">
        <f>SUM(J7:J10)</f>
        <v>0</v>
      </c>
      <c r="K11" s="46"/>
      <c r="L11" s="47" t="s">
        <v>48</v>
      </c>
      <c r="M11" s="15" t="s">
        <v>63</v>
      </c>
    </row>
    <row r="12" spans="1:13" ht="16.3" x14ac:dyDescent="0.3">
      <c r="C12" s="58" t="s">
        <v>32</v>
      </c>
      <c r="D12" s="59" t="s">
        <v>21</v>
      </c>
      <c r="E12" s="59"/>
      <c r="F12" s="48">
        <f>SUM(F7:F10)</f>
        <v>38.5</v>
      </c>
      <c r="G12" s="59"/>
      <c r="H12" s="59" t="s">
        <v>117</v>
      </c>
      <c r="I12" s="60"/>
      <c r="J12" s="61"/>
      <c r="K12" s="48">
        <f>SUM(K7:K10)</f>
        <v>0</v>
      </c>
      <c r="L12" s="49" t="s">
        <v>48</v>
      </c>
      <c r="M12" s="15" t="s">
        <v>63</v>
      </c>
    </row>
    <row r="13" spans="1:13" x14ac:dyDescent="0.25">
      <c r="J13" s="33"/>
      <c r="L13" s="52"/>
    </row>
    <row r="14" spans="1:13" ht="14.95" x14ac:dyDescent="0.25">
      <c r="C14" s="6"/>
      <c r="F14" s="6"/>
      <c r="H14" s="38"/>
      <c r="I14" s="42"/>
      <c r="J14" s="35"/>
      <c r="L14" s="52"/>
    </row>
    <row r="15" spans="1:13" s="44" customFormat="1" ht="15.8" x14ac:dyDescent="0.3">
      <c r="A15" s="138" t="s">
        <v>14</v>
      </c>
      <c r="B15" s="139"/>
      <c r="C15" s="139"/>
      <c r="D15" s="139"/>
      <c r="E15" s="139"/>
      <c r="F15" s="139"/>
      <c r="G15" s="139"/>
      <c r="H15" s="139"/>
      <c r="I15" s="75"/>
      <c r="J15" s="79"/>
      <c r="K15" s="78"/>
      <c r="L15" s="77"/>
      <c r="M15" s="78"/>
    </row>
    <row r="16" spans="1:13" ht="29.25" x14ac:dyDescent="0.3">
      <c r="C16" s="62" t="s">
        <v>33</v>
      </c>
      <c r="D16" s="63" t="s">
        <v>23</v>
      </c>
      <c r="E16" s="71">
        <v>0</v>
      </c>
      <c r="F16" s="64">
        <v>4</v>
      </c>
      <c r="G16" s="63"/>
      <c r="H16" s="80" t="s">
        <v>116</v>
      </c>
      <c r="I16" s="65"/>
      <c r="J16" s="73" t="s">
        <v>64</v>
      </c>
      <c r="K16" s="73" t="s">
        <v>64</v>
      </c>
      <c r="L16" s="70" t="s">
        <v>48</v>
      </c>
    </row>
    <row r="17" spans="1:14" x14ac:dyDescent="0.25">
      <c r="C17" s="9"/>
      <c r="F17" s="2"/>
      <c r="J17" s="33"/>
      <c r="L17" s="52"/>
    </row>
    <row r="18" spans="1:14" s="44" customFormat="1" ht="15.65" x14ac:dyDescent="0.35">
      <c r="A18" s="138" t="s">
        <v>15</v>
      </c>
      <c r="B18" s="139"/>
      <c r="C18" s="139"/>
      <c r="D18" s="139"/>
      <c r="E18" s="139"/>
      <c r="F18" s="139"/>
      <c r="G18" s="139"/>
      <c r="H18" s="139"/>
      <c r="I18" s="75"/>
      <c r="J18" s="79"/>
      <c r="K18" s="78"/>
      <c r="L18" s="77"/>
      <c r="M18" s="78"/>
    </row>
    <row r="19" spans="1:14" x14ac:dyDescent="0.25">
      <c r="C19" s="1" t="s">
        <v>1</v>
      </c>
      <c r="D19" t="s">
        <v>2</v>
      </c>
      <c r="F19" s="2">
        <v>3</v>
      </c>
      <c r="H19" s="12" t="s">
        <v>115</v>
      </c>
      <c r="J19" s="33"/>
      <c r="K19" s="2"/>
      <c r="L19" s="53" t="s">
        <v>48</v>
      </c>
    </row>
    <row r="20" spans="1:14" x14ac:dyDescent="0.25">
      <c r="C20" s="1" t="s">
        <v>3</v>
      </c>
      <c r="D20" t="s">
        <v>4</v>
      </c>
      <c r="F20" s="2">
        <v>1</v>
      </c>
      <c r="J20" s="33"/>
      <c r="K20" s="2"/>
      <c r="L20" s="53" t="s">
        <v>48</v>
      </c>
    </row>
    <row r="21" spans="1:14" x14ac:dyDescent="0.25">
      <c r="C21" s="1" t="s">
        <v>5</v>
      </c>
      <c r="D21" t="s">
        <v>6</v>
      </c>
      <c r="F21" s="2">
        <v>10</v>
      </c>
      <c r="H21" s="12" t="s">
        <v>125</v>
      </c>
      <c r="J21" s="33"/>
      <c r="K21" s="2"/>
      <c r="L21" s="53" t="s">
        <v>48</v>
      </c>
    </row>
    <row r="22" spans="1:14" s="15" customFormat="1" x14ac:dyDescent="0.25">
      <c r="C22" s="1" t="s">
        <v>114</v>
      </c>
      <c r="D22" s="15" t="s">
        <v>36</v>
      </c>
      <c r="F22" s="2">
        <v>4</v>
      </c>
      <c r="H22" s="12"/>
      <c r="I22" s="19"/>
      <c r="J22" s="33"/>
      <c r="K22" s="2"/>
      <c r="L22" s="53" t="s">
        <v>48</v>
      </c>
    </row>
    <row r="23" spans="1:14" x14ac:dyDescent="0.25">
      <c r="C23" s="1" t="s">
        <v>7</v>
      </c>
      <c r="D23" t="s">
        <v>8</v>
      </c>
      <c r="F23" s="2">
        <v>1</v>
      </c>
      <c r="J23" s="33"/>
      <c r="K23" s="2"/>
      <c r="L23" s="53" t="s">
        <v>48</v>
      </c>
    </row>
    <row r="24" spans="1:14" s="15" customFormat="1" ht="16.3" x14ac:dyDescent="0.3">
      <c r="C24" s="67" t="s">
        <v>35</v>
      </c>
      <c r="D24" s="63"/>
      <c r="E24" s="63"/>
      <c r="F24" s="68">
        <f>SUM(F19:F23)</f>
        <v>19</v>
      </c>
      <c r="G24" s="63"/>
      <c r="H24" s="63"/>
      <c r="I24" s="69"/>
      <c r="J24" s="66"/>
      <c r="K24" s="63"/>
      <c r="L24" s="70">
        <f>SUM(L19:L23)</f>
        <v>0</v>
      </c>
    </row>
    <row r="25" spans="1:14" x14ac:dyDescent="0.25">
      <c r="C25" s="1"/>
      <c r="D25" s="12"/>
      <c r="E25" s="12"/>
      <c r="H25" s="33"/>
      <c r="I25" s="18"/>
      <c r="J25" s="33"/>
      <c r="L25" s="52"/>
    </row>
    <row r="26" spans="1:14" ht="19.7" thickBot="1" x14ac:dyDescent="0.4">
      <c r="D26" s="136" t="s">
        <v>50</v>
      </c>
      <c r="E26" s="137"/>
      <c r="F26" s="29">
        <f>SUM(F4:F5)+F12+E11+SUM(E15:F17)+F24</f>
        <v>80</v>
      </c>
      <c r="I26" s="41" t="s">
        <v>51</v>
      </c>
      <c r="J26" s="29">
        <f>SUM(J6:J10)+SUM(J15:J17)</f>
        <v>0</v>
      </c>
      <c r="K26" s="29">
        <f>SUM(K6:K10)+SUM(K15:K17)</f>
        <v>0</v>
      </c>
      <c r="L26" s="29">
        <f>SUM(L11:L12)+SUM(L15:L17)+SUM(L24)+SUM(L4:L5)</f>
        <v>0</v>
      </c>
    </row>
    <row r="27" spans="1:14" ht="15.65" thickTop="1" thickBot="1" x14ac:dyDescent="0.3">
      <c r="C27" s="1"/>
      <c r="D27" s="12"/>
      <c r="E27" s="12"/>
      <c r="F27" s="10"/>
      <c r="J27" s="33"/>
    </row>
    <row r="28" spans="1:14" ht="24.45" thickBot="1" x14ac:dyDescent="0.45">
      <c r="C28" s="84" t="s">
        <v>16</v>
      </c>
      <c r="D28" s="84" t="s">
        <v>17</v>
      </c>
      <c r="E28" s="15"/>
      <c r="F28" s="17"/>
      <c r="J28" s="33"/>
      <c r="N28" s="3"/>
    </row>
    <row r="29" spans="1:14" ht="19.05" x14ac:dyDescent="0.35">
      <c r="C29" s="7" t="s">
        <v>18</v>
      </c>
      <c r="D29" s="20">
        <v>80</v>
      </c>
      <c r="E29" s="15"/>
      <c r="F29" s="11"/>
    </row>
    <row r="30" spans="1:14" ht="19.05" x14ac:dyDescent="0.35">
      <c r="C30" s="7" t="s">
        <v>19</v>
      </c>
      <c r="D30" s="21">
        <f>F26</f>
        <v>80</v>
      </c>
      <c r="E30" s="15"/>
      <c r="F30" s="11"/>
      <c r="J30" s="33"/>
    </row>
    <row r="31" spans="1:14" ht="19.05" x14ac:dyDescent="0.35">
      <c r="C31" s="7" t="s">
        <v>53</v>
      </c>
      <c r="D31" s="21">
        <f>D30-D29</f>
        <v>0</v>
      </c>
      <c r="E31" s="15"/>
      <c r="F31" s="13"/>
      <c r="J31" s="33"/>
    </row>
    <row r="32" spans="1:14" ht="19.05" x14ac:dyDescent="0.35">
      <c r="C32" s="7" t="s">
        <v>54</v>
      </c>
      <c r="D32" s="23">
        <f>D31/D29</f>
        <v>0</v>
      </c>
      <c r="E32" s="15"/>
      <c r="F32" s="13"/>
      <c r="J32" s="33"/>
    </row>
    <row r="33" spans="3:12" ht="19.05" x14ac:dyDescent="0.35">
      <c r="C33" s="21" t="s">
        <v>56</v>
      </c>
      <c r="D33" s="74">
        <f>L26</f>
        <v>0</v>
      </c>
      <c r="E33" s="15"/>
      <c r="F33" s="13"/>
      <c r="J33" s="33"/>
    </row>
    <row r="34" spans="3:12" ht="19.7" thickBot="1" x14ac:dyDescent="0.4">
      <c r="C34" s="24" t="s">
        <v>57</v>
      </c>
      <c r="D34" s="22">
        <f>(L26-D29)/D29</f>
        <v>-1</v>
      </c>
      <c r="E34" s="15"/>
      <c r="F34" s="12"/>
      <c r="H34" s="39" t="s">
        <v>31</v>
      </c>
      <c r="I34" s="45"/>
      <c r="J34" s="32"/>
      <c r="K34" s="3"/>
      <c r="L34" s="3"/>
    </row>
    <row r="35" spans="3:12" ht="149.30000000000001" customHeight="1" x14ac:dyDescent="0.25">
      <c r="C35" s="1"/>
      <c r="F35" s="12"/>
      <c r="H35" s="40" t="s">
        <v>37</v>
      </c>
      <c r="I35" s="43"/>
      <c r="J35" s="32"/>
      <c r="K35" s="3"/>
      <c r="L35" s="3"/>
    </row>
    <row r="36" spans="3:12" x14ac:dyDescent="0.25">
      <c r="C36" s="17"/>
      <c r="D36" s="1"/>
      <c r="E36" s="1"/>
      <c r="J36" s="32"/>
    </row>
    <row r="37" spans="3:12" x14ac:dyDescent="0.25">
      <c r="C37" s="14"/>
      <c r="D37" s="8"/>
      <c r="E37" s="8"/>
      <c r="F37" s="12"/>
      <c r="J37" s="32"/>
    </row>
    <row r="38" spans="3:12" x14ac:dyDescent="0.25">
      <c r="C38" s="1"/>
      <c r="D38" s="1"/>
      <c r="E38" s="1"/>
      <c r="F38" s="12"/>
      <c r="J38" s="32"/>
    </row>
    <row r="39" spans="3:12" x14ac:dyDescent="0.25">
      <c r="C39" s="1"/>
      <c r="D39" s="1"/>
      <c r="E39" s="1"/>
      <c r="J39" s="32"/>
    </row>
    <row r="40" spans="3:12" x14ac:dyDescent="0.25">
      <c r="C40" s="1"/>
      <c r="J40" s="32"/>
    </row>
    <row r="41" spans="3:12" x14ac:dyDescent="0.25">
      <c r="C41" s="1"/>
      <c r="J41" s="32"/>
    </row>
  </sheetData>
  <mergeCells count="5">
    <mergeCell ref="I2:M2"/>
    <mergeCell ref="D26:E26"/>
    <mergeCell ref="A6:H6"/>
    <mergeCell ref="A15:H15"/>
    <mergeCell ref="A18:H18"/>
  </mergeCells>
  <conditionalFormatting sqref="D32 D34">
    <cfRule type="cellIs" dxfId="6" priority="3" operator="greaterThan">
      <formula>0.2</formula>
    </cfRule>
    <cfRule type="cellIs" dxfId="5" priority="4" operator="between">
      <formula>0.1</formula>
      <formula>0.2</formula>
    </cfRule>
    <cfRule type="cellIs" dxfId="4" priority="5" operator="lessThan">
      <formula>0.1</formula>
    </cfRule>
  </conditionalFormatting>
  <conditionalFormatting sqref="H19:I22 H14:I14">
    <cfRule type="colorScale" priority="1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3:M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8487-CB93-49A9-86F0-501DEA9756FF}">
  <dimension ref="A1:R8"/>
  <sheetViews>
    <sheetView zoomScale="60" zoomScaleNormal="60" workbookViewId="0">
      <selection activeCell="D1" sqref="D1"/>
    </sheetView>
  </sheetViews>
  <sheetFormatPr defaultRowHeight="14.3" x14ac:dyDescent="0.25"/>
  <cols>
    <col min="1" max="1" width="26.75" customWidth="1"/>
    <col min="2" max="2" width="19" customWidth="1"/>
    <col min="3" max="3" width="11.5" customWidth="1"/>
    <col min="4" max="4" width="38.125" customWidth="1"/>
    <col min="5" max="6" width="18.125" customWidth="1"/>
    <col min="7" max="7" width="17.375" customWidth="1"/>
    <col min="8" max="8" width="91.25" customWidth="1"/>
    <col min="9" max="9" width="60.125" customWidth="1"/>
  </cols>
  <sheetData>
    <row r="1" spans="1:18" x14ac:dyDescent="0.25">
      <c r="A1" s="103" t="s">
        <v>80</v>
      </c>
      <c r="B1" s="103" t="s">
        <v>81</v>
      </c>
      <c r="C1" s="103" t="s">
        <v>82</v>
      </c>
      <c r="D1" s="103" t="s">
        <v>83</v>
      </c>
      <c r="E1" s="103" t="s">
        <v>84</v>
      </c>
      <c r="F1" s="103" t="s">
        <v>85</v>
      </c>
      <c r="G1" s="103" t="s">
        <v>101</v>
      </c>
      <c r="H1" s="103" t="s">
        <v>22</v>
      </c>
      <c r="I1" s="103" t="s">
        <v>87</v>
      </c>
    </row>
    <row r="2" spans="1:18" ht="409.6" customHeight="1" x14ac:dyDescent="0.25">
      <c r="A2" s="104" t="s">
        <v>95</v>
      </c>
      <c r="B2" s="105" t="s">
        <v>97</v>
      </c>
      <c r="C2" s="106">
        <v>286067</v>
      </c>
      <c r="D2" s="104" t="s">
        <v>96</v>
      </c>
      <c r="E2" s="112">
        <v>8</v>
      </c>
      <c r="F2" s="112">
        <v>23</v>
      </c>
      <c r="G2" s="113">
        <v>1</v>
      </c>
      <c r="H2" s="107" t="s">
        <v>113</v>
      </c>
      <c r="I2" s="115" t="s">
        <v>104</v>
      </c>
    </row>
    <row r="3" spans="1:18" ht="273.10000000000002" customHeight="1" x14ac:dyDescent="0.25">
      <c r="A3" s="104" t="s">
        <v>93</v>
      </c>
      <c r="B3" s="105" t="s">
        <v>97</v>
      </c>
      <c r="C3" s="106">
        <v>285729</v>
      </c>
      <c r="D3" s="104" t="s">
        <v>94</v>
      </c>
      <c r="E3" s="112">
        <v>1</v>
      </c>
      <c r="F3" s="112">
        <v>3</v>
      </c>
      <c r="G3" s="113">
        <v>2</v>
      </c>
      <c r="H3" s="107" t="s">
        <v>110</v>
      </c>
      <c r="I3" s="115" t="s">
        <v>103</v>
      </c>
    </row>
    <row r="4" spans="1:18" ht="323.35000000000002" customHeight="1" x14ac:dyDescent="0.25">
      <c r="A4" s="104" t="s">
        <v>98</v>
      </c>
      <c r="B4" s="105" t="s">
        <v>97</v>
      </c>
      <c r="C4" s="106">
        <v>286836</v>
      </c>
      <c r="D4" s="104" t="s">
        <v>99</v>
      </c>
      <c r="E4" s="112">
        <v>2</v>
      </c>
      <c r="F4" s="112">
        <v>3</v>
      </c>
      <c r="G4" s="113">
        <v>3</v>
      </c>
      <c r="H4" s="107" t="s">
        <v>109</v>
      </c>
      <c r="I4" s="115" t="s">
        <v>105</v>
      </c>
    </row>
    <row r="5" spans="1:18" ht="271.05" customHeight="1" x14ac:dyDescent="0.25">
      <c r="A5" s="104" t="s">
        <v>91</v>
      </c>
      <c r="B5" s="105" t="s">
        <v>97</v>
      </c>
      <c r="C5" s="106">
        <v>284111</v>
      </c>
      <c r="D5" s="104" t="s">
        <v>92</v>
      </c>
      <c r="E5" s="112">
        <v>0.5</v>
      </c>
      <c r="F5" s="112">
        <v>3</v>
      </c>
      <c r="G5" s="113">
        <v>4</v>
      </c>
      <c r="H5" s="107" t="s">
        <v>111</v>
      </c>
      <c r="I5" s="115" t="s">
        <v>102</v>
      </c>
    </row>
    <row r="6" spans="1:18" ht="230.95" customHeight="1" x14ac:dyDescent="0.25">
      <c r="A6" s="104" t="s">
        <v>98</v>
      </c>
      <c r="B6" s="105" t="s">
        <v>97</v>
      </c>
      <c r="C6" s="106">
        <v>290161</v>
      </c>
      <c r="D6" s="104" t="s">
        <v>100</v>
      </c>
      <c r="E6" s="112">
        <v>0</v>
      </c>
      <c r="F6" s="112">
        <v>0</v>
      </c>
      <c r="G6" s="112" t="s">
        <v>107</v>
      </c>
      <c r="H6" s="107" t="s">
        <v>112</v>
      </c>
      <c r="I6" s="115" t="s">
        <v>106</v>
      </c>
    </row>
    <row r="7" spans="1:18" ht="63.85" customHeight="1" x14ac:dyDescent="0.25">
      <c r="A7" s="111"/>
      <c r="B7" s="111"/>
      <c r="C7" s="111"/>
      <c r="D7" s="109" t="s">
        <v>89</v>
      </c>
      <c r="E7" s="112">
        <v>0</v>
      </c>
      <c r="F7" s="116">
        <v>3</v>
      </c>
      <c r="G7" s="108"/>
      <c r="H7" s="117" t="s">
        <v>108</v>
      </c>
      <c r="I7" s="111"/>
      <c r="J7" s="97"/>
      <c r="K7" s="97"/>
      <c r="L7" s="97"/>
      <c r="M7" s="97"/>
      <c r="N7" s="97"/>
      <c r="O7" s="97"/>
      <c r="P7" s="97"/>
      <c r="Q7" s="97"/>
      <c r="R7" s="97"/>
    </row>
    <row r="8" spans="1:18" ht="39.4" customHeight="1" x14ac:dyDescent="0.25">
      <c r="A8" s="111"/>
      <c r="B8" s="111"/>
      <c r="C8" s="111"/>
      <c r="D8" s="109" t="s">
        <v>90</v>
      </c>
      <c r="E8" s="110">
        <f>SUM(E2:E7)</f>
        <v>11.5</v>
      </c>
      <c r="F8" s="110">
        <f>SUM(F2:F7)</f>
        <v>35</v>
      </c>
      <c r="G8" s="108"/>
      <c r="H8" s="114"/>
      <c r="I8" s="111"/>
      <c r="J8" s="97"/>
      <c r="K8" s="97"/>
      <c r="L8" s="97"/>
      <c r="M8" s="97"/>
      <c r="N8" s="97"/>
      <c r="O8" s="97"/>
      <c r="P8" s="97"/>
      <c r="Q8" s="97"/>
      <c r="R8" s="97"/>
    </row>
  </sheetData>
  <conditionalFormatting sqref="G2:G5 G7:G8">
    <cfRule type="cellIs" dxfId="3" priority="1" operator="equal">
      <formula>1</formula>
    </cfRule>
    <cfRule type="cellIs" dxfId="2" priority="2" operator="equal">
      <formula>2</formula>
    </cfRule>
    <cfRule type="cellIs" dxfId="1" priority="3" operator="equal">
      <formula>3</formula>
    </cfRule>
    <cfRule type="cellIs" dxfId="0" priority="4" operator="equal">
      <formula>4</formula>
    </cfRule>
  </conditionalFormatting>
  <hyperlinks>
    <hyperlink ref="I6" r:id="rId1" xr:uid="{CF31B54D-EB8B-4B66-B60F-8C333D883383}"/>
    <hyperlink ref="I5" r:id="rId2" xr:uid="{4BCC154A-0598-402D-97A5-58A1DA92AF8E}"/>
    <hyperlink ref="I4" r:id="rId3" xr:uid="{D8FBD112-E14A-4E6C-8EF3-FAD3FC4FED35}"/>
    <hyperlink ref="I2" r:id="rId4" xr:uid="{B4BBDB8C-0B5F-452A-8782-246AD86C46B6}"/>
    <hyperlink ref="I3" r:id="rId5" xr:uid="{4C4CB38C-F9EA-4C1E-8C2C-9974F6A87FA3}"/>
  </hyperlinks>
  <pageMargins left="0.7" right="0.7" top="0.75" bottom="0.75" header="0.3" footer="0.3"/>
  <pageSetup orientation="portrait"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59AA-7143-413C-814B-AF2C92B63AD3}">
  <dimension ref="A1:I36"/>
  <sheetViews>
    <sheetView workbookViewId="0">
      <selection sqref="A1:H5"/>
    </sheetView>
  </sheetViews>
  <sheetFormatPr defaultColWidth="8.875" defaultRowHeight="16.3" x14ac:dyDescent="0.3"/>
  <cols>
    <col min="1" max="1" width="35.375" style="87" customWidth="1"/>
    <col min="2" max="2" width="30.875" style="87" customWidth="1"/>
    <col min="3" max="3" width="12" style="87" customWidth="1"/>
    <col min="4" max="4" width="63.75" style="87" customWidth="1"/>
    <col min="5" max="5" width="24" style="87" customWidth="1"/>
    <col min="6" max="6" width="21" style="87" customWidth="1"/>
    <col min="7" max="7" width="18.375" style="87" customWidth="1"/>
    <col min="8" max="8" width="85.375" style="87" customWidth="1"/>
    <col min="9" max="9" width="106.125" style="87" customWidth="1"/>
    <col min="10" max="16384" width="8.875" style="87"/>
  </cols>
  <sheetData>
    <row r="1" spans="1:9" x14ac:dyDescent="0.3">
      <c r="A1" s="98" t="s">
        <v>118</v>
      </c>
      <c r="B1" s="98"/>
      <c r="C1" s="98"/>
      <c r="D1" s="98"/>
      <c r="E1" s="98"/>
      <c r="F1" s="98"/>
      <c r="G1" s="98"/>
      <c r="H1" s="98"/>
      <c r="I1" s="98"/>
    </row>
    <row r="2" spans="1:9" x14ac:dyDescent="0.3">
      <c r="A2" s="99" t="s">
        <v>80</v>
      </c>
      <c r="B2" s="99" t="s">
        <v>81</v>
      </c>
      <c r="C2" s="99" t="s">
        <v>82</v>
      </c>
      <c r="D2" s="99" t="s">
        <v>83</v>
      </c>
      <c r="E2" s="99"/>
      <c r="F2" s="100" t="s">
        <v>119</v>
      </c>
      <c r="G2" s="100" t="s">
        <v>86</v>
      </c>
      <c r="H2" s="99" t="s">
        <v>22</v>
      </c>
      <c r="I2" s="101" t="s">
        <v>87</v>
      </c>
    </row>
    <row r="3" spans="1:9" ht="28.55" x14ac:dyDescent="0.3">
      <c r="A3" s="118" t="s">
        <v>98</v>
      </c>
      <c r="B3" s="118" t="s">
        <v>88</v>
      </c>
      <c r="C3" s="119">
        <v>285795</v>
      </c>
      <c r="D3" s="118" t="s">
        <v>120</v>
      </c>
      <c r="E3" s="118"/>
      <c r="F3" s="120">
        <v>0.5</v>
      </c>
      <c r="G3" s="121">
        <v>2</v>
      </c>
      <c r="H3" s="122" t="s">
        <v>123</v>
      </c>
      <c r="I3" s="123" t="s">
        <v>122</v>
      </c>
    </row>
    <row r="4" spans="1:9" ht="29.25" x14ac:dyDescent="0.3">
      <c r="A4" s="124"/>
      <c r="B4" s="124"/>
      <c r="C4" s="125"/>
      <c r="D4" s="124"/>
      <c r="E4" s="126" t="s">
        <v>121</v>
      </c>
      <c r="F4" s="127">
        <v>9.5</v>
      </c>
      <c r="G4" s="127"/>
      <c r="H4" s="128" t="s">
        <v>124</v>
      </c>
      <c r="I4" s="129"/>
    </row>
    <row r="5" spans="1:9" x14ac:dyDescent="0.3">
      <c r="A5" s="124"/>
      <c r="B5" s="124"/>
      <c r="C5" s="130"/>
      <c r="D5" s="131"/>
      <c r="E5" s="126" t="s">
        <v>90</v>
      </c>
      <c r="F5" s="132">
        <f>SUM(F3:F4)</f>
        <v>10</v>
      </c>
      <c r="G5" s="127"/>
      <c r="H5" s="133"/>
      <c r="I5" s="134"/>
    </row>
    <row r="6" spans="1:9" x14ac:dyDescent="0.3">
      <c r="C6" s="88"/>
      <c r="D6" s="89"/>
      <c r="H6" s="93"/>
      <c r="I6" s="94"/>
    </row>
    <row r="7" spans="1:9" x14ac:dyDescent="0.3">
      <c r="C7" s="88"/>
      <c r="D7" s="89"/>
      <c r="H7" s="93"/>
      <c r="I7" s="91"/>
    </row>
    <row r="8" spans="1:9" x14ac:dyDescent="0.3">
      <c r="C8" s="88"/>
      <c r="D8" s="89"/>
      <c r="E8" s="92"/>
      <c r="F8" s="92"/>
      <c r="G8" s="92"/>
      <c r="H8" s="90"/>
    </row>
    <row r="9" spans="1:9" x14ac:dyDescent="0.3">
      <c r="C9" s="88"/>
      <c r="D9" s="89"/>
      <c r="E9" s="92"/>
      <c r="F9" s="92"/>
      <c r="G9" s="92"/>
      <c r="H9" s="93"/>
    </row>
    <row r="10" spans="1:9" x14ac:dyDescent="0.3">
      <c r="C10" s="88"/>
      <c r="D10" s="89"/>
      <c r="H10" s="93"/>
      <c r="I10" s="94"/>
    </row>
    <row r="11" spans="1:9" x14ac:dyDescent="0.3">
      <c r="C11" s="88"/>
      <c r="D11" s="89"/>
      <c r="H11" s="93"/>
      <c r="I11" s="91"/>
    </row>
    <row r="12" spans="1:9" x14ac:dyDescent="0.3">
      <c r="C12" s="88"/>
      <c r="D12" s="89"/>
      <c r="E12" s="92"/>
      <c r="F12" s="92"/>
      <c r="G12" s="92"/>
    </row>
    <row r="13" spans="1:9" x14ac:dyDescent="0.3">
      <c r="C13" s="88"/>
      <c r="D13" s="89"/>
      <c r="E13" s="92"/>
      <c r="F13" s="92"/>
      <c r="G13" s="92"/>
    </row>
    <row r="14" spans="1:9" x14ac:dyDescent="0.3">
      <c r="C14" s="88"/>
      <c r="D14" s="89"/>
      <c r="I14" s="91"/>
    </row>
    <row r="15" spans="1:9" x14ac:dyDescent="0.3">
      <c r="C15" s="88"/>
      <c r="D15" s="89"/>
      <c r="I15" s="94"/>
    </row>
    <row r="16" spans="1:9" x14ac:dyDescent="0.3">
      <c r="C16" s="88"/>
      <c r="D16" s="89"/>
      <c r="E16" s="92"/>
      <c r="F16" s="92"/>
      <c r="G16" s="92"/>
    </row>
    <row r="17" spans="1:9" x14ac:dyDescent="0.3">
      <c r="C17" s="88"/>
      <c r="D17" s="89"/>
      <c r="I17" s="91"/>
    </row>
    <row r="18" spans="1:9" x14ac:dyDescent="0.3">
      <c r="C18" s="88"/>
      <c r="D18" s="89"/>
      <c r="I18" s="91"/>
    </row>
    <row r="19" spans="1:9" x14ac:dyDescent="0.3">
      <c r="A19" s="95"/>
      <c r="B19" s="95"/>
      <c r="C19" s="88"/>
      <c r="D19" s="89"/>
      <c r="I19" s="91"/>
    </row>
    <row r="20" spans="1:9" x14ac:dyDescent="0.3">
      <c r="C20" s="88"/>
      <c r="D20" s="89"/>
      <c r="I20" s="91"/>
    </row>
    <row r="21" spans="1:9" x14ac:dyDescent="0.3">
      <c r="C21" s="88"/>
      <c r="D21" s="89"/>
      <c r="I21" s="91"/>
    </row>
    <row r="22" spans="1:9" x14ac:dyDescent="0.3">
      <c r="C22" s="88"/>
      <c r="D22" s="89"/>
      <c r="I22" s="91"/>
    </row>
    <row r="23" spans="1:9" x14ac:dyDescent="0.3">
      <c r="C23" s="88"/>
      <c r="D23" s="89"/>
      <c r="I23" s="91"/>
    </row>
    <row r="24" spans="1:9" x14ac:dyDescent="0.3">
      <c r="C24" s="88"/>
      <c r="D24" s="89"/>
      <c r="I24" s="91"/>
    </row>
    <row r="25" spans="1:9" x14ac:dyDescent="0.3">
      <c r="C25" s="88"/>
      <c r="D25" s="89"/>
      <c r="I25" s="91"/>
    </row>
    <row r="26" spans="1:9" x14ac:dyDescent="0.3">
      <c r="C26" s="88"/>
      <c r="D26" s="89"/>
      <c r="I26" s="91"/>
    </row>
    <row r="27" spans="1:9" x14ac:dyDescent="0.3">
      <c r="C27" s="88"/>
      <c r="D27" s="89"/>
      <c r="I27" s="91"/>
    </row>
    <row r="28" spans="1:9" x14ac:dyDescent="0.3">
      <c r="C28" s="96"/>
      <c r="E28" s="92"/>
      <c r="F28" s="92"/>
      <c r="G28" s="92"/>
    </row>
    <row r="29" spans="1:9" x14ac:dyDescent="0.3">
      <c r="C29" s="96"/>
      <c r="E29" s="92"/>
      <c r="F29" s="92"/>
      <c r="G29" s="92"/>
    </row>
    <row r="30" spans="1:9" x14ac:dyDescent="0.3">
      <c r="C30" s="88"/>
      <c r="D30" s="89"/>
      <c r="I30" s="91"/>
    </row>
    <row r="31" spans="1:9" x14ac:dyDescent="0.3">
      <c r="C31" s="88"/>
      <c r="D31" s="89"/>
      <c r="I31" s="91"/>
    </row>
    <row r="32" spans="1:9" x14ac:dyDescent="0.3">
      <c r="C32" s="88"/>
      <c r="D32" s="89"/>
      <c r="I32" s="91"/>
    </row>
    <row r="33" spans="3:9" x14ac:dyDescent="0.3">
      <c r="C33" s="88"/>
      <c r="D33" s="89"/>
      <c r="I33" s="91"/>
    </row>
    <row r="34" spans="3:9" x14ac:dyDescent="0.3">
      <c r="C34" s="88"/>
      <c r="D34" s="89"/>
      <c r="I34" s="91"/>
    </row>
    <row r="35" spans="3:9" x14ac:dyDescent="0.3">
      <c r="C35" s="96"/>
      <c r="E35" s="92"/>
      <c r="F35" s="92"/>
      <c r="G35" s="92"/>
    </row>
    <row r="36" spans="3:9" x14ac:dyDescent="0.3">
      <c r="C36" s="88"/>
      <c r="D36" s="89"/>
    </row>
  </sheetData>
  <dataValidations count="1">
    <dataValidation type="list" allowBlank="1" showInputMessage="1" showErrorMessage="1" sqref="G3:G4" xr:uid="{74C5B7AD-B430-4723-B744-CF832B3AE1CD}">
      <formula1>"1,2,3,4"</formula1>
    </dataValidation>
  </dataValidations>
  <hyperlinks>
    <hyperlink ref="I3" r:id="rId1" display="Bug " xr:uid="{963D25E1-4271-46E6-8AFC-2862C1A1357C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selection activeCell="A13" sqref="A13"/>
    </sheetView>
  </sheetViews>
  <sheetFormatPr defaultColWidth="9.125" defaultRowHeight="14.3" x14ac:dyDescent="0.25"/>
  <cols>
    <col min="1" max="1" width="26.75" style="15" customWidth="1"/>
    <col min="2" max="2" width="22.75" style="15" customWidth="1"/>
    <col min="3" max="3" width="30.75" style="15" customWidth="1"/>
    <col min="4" max="4" width="28" style="15" customWidth="1"/>
    <col min="5" max="6" width="9.125" style="15" customWidth="1"/>
    <col min="7" max="16384" width="9.125" style="15"/>
  </cols>
  <sheetData>
    <row r="1" spans="1:4" ht="23.8" x14ac:dyDescent="0.4">
      <c r="A1" s="86" t="s">
        <v>68</v>
      </c>
    </row>
    <row r="3" spans="1:4" ht="66.099999999999994" customHeight="1" x14ac:dyDescent="0.25">
      <c r="A3" s="140" t="s">
        <v>69</v>
      </c>
      <c r="B3" s="140"/>
      <c r="C3" s="140"/>
      <c r="D3" s="140"/>
    </row>
    <row r="6" spans="1:4" x14ac:dyDescent="0.25">
      <c r="A6" s="15" t="s">
        <v>70</v>
      </c>
      <c r="B6" s="15" t="s">
        <v>71</v>
      </c>
    </row>
    <row r="7" spans="1:4" x14ac:dyDescent="0.25">
      <c r="A7" s="15" t="s">
        <v>72</v>
      </c>
      <c r="B7" s="15" t="s">
        <v>73</v>
      </c>
    </row>
    <row r="9" spans="1:4" x14ac:dyDescent="0.25">
      <c r="A9" s="15" t="s">
        <v>74</v>
      </c>
      <c r="B9" s="15" t="s">
        <v>75</v>
      </c>
    </row>
    <row r="10" spans="1:4" x14ac:dyDescent="0.25">
      <c r="A10" s="15" t="s">
        <v>76</v>
      </c>
      <c r="B10" s="81" t="s">
        <v>77</v>
      </c>
      <c r="C10" s="15" t="s">
        <v>78</v>
      </c>
    </row>
    <row r="11" spans="1:4" x14ac:dyDescent="0.25">
      <c r="B11" s="81"/>
    </row>
    <row r="12" spans="1:4" x14ac:dyDescent="0.25">
      <c r="B12" s="81"/>
    </row>
  </sheetData>
  <mergeCells count="1">
    <mergeCell ref="A3:D3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15" sqref="A15"/>
    </sheetView>
  </sheetViews>
  <sheetFormatPr defaultRowHeight="14.3" x14ac:dyDescent="0.25"/>
  <cols>
    <col min="1" max="1" width="20" customWidth="1"/>
    <col min="2" max="2" width="118.625" customWidth="1"/>
  </cols>
  <sheetData>
    <row r="1" spans="1:2" s="15" customFormat="1" ht="14.95" customHeight="1" x14ac:dyDescent="0.25">
      <c r="A1" s="142" t="s">
        <v>45</v>
      </c>
      <c r="B1" s="143"/>
    </row>
    <row r="2" spans="1:2" s="15" customFormat="1" ht="14.95" customHeight="1" x14ac:dyDescent="0.25">
      <c r="A2" s="82"/>
      <c r="B2" s="83"/>
    </row>
    <row r="3" spans="1:2" ht="135" customHeight="1" x14ac:dyDescent="0.25">
      <c r="A3" s="141" t="s">
        <v>58</v>
      </c>
      <c r="B3" s="137"/>
    </row>
    <row r="6" spans="1:2" ht="14.95" customHeight="1" x14ac:dyDescent="0.25">
      <c r="A6" s="82" t="s">
        <v>46</v>
      </c>
      <c r="B6" s="15"/>
    </row>
    <row r="7" spans="1:2" s="15" customFormat="1" ht="14.95" customHeight="1" x14ac:dyDescent="0.25">
      <c r="A7" s="82"/>
    </row>
    <row r="8" spans="1:2" x14ac:dyDescent="0.25">
      <c r="A8" s="15" t="s">
        <v>38</v>
      </c>
      <c r="B8" s="31" t="s">
        <v>55</v>
      </c>
    </row>
    <row r="9" spans="1:2" x14ac:dyDescent="0.25">
      <c r="A9" s="15" t="s">
        <v>39</v>
      </c>
      <c r="B9" s="31" t="s">
        <v>65</v>
      </c>
    </row>
    <row r="10" spans="1:2" x14ac:dyDescent="0.25">
      <c r="A10" s="15" t="s">
        <v>40</v>
      </c>
      <c r="B10" s="31" t="s">
        <v>41</v>
      </c>
    </row>
    <row r="11" spans="1:2" x14ac:dyDescent="0.25">
      <c r="A11" s="15" t="s">
        <v>42</v>
      </c>
      <c r="B11" s="31" t="s">
        <v>59</v>
      </c>
    </row>
    <row r="12" spans="1:2" x14ac:dyDescent="0.25">
      <c r="A12" s="15" t="s">
        <v>43</v>
      </c>
      <c r="B12" s="31" t="s">
        <v>66</v>
      </c>
    </row>
    <row r="13" spans="1:2" x14ac:dyDescent="0.25">
      <c r="A13" s="15" t="s">
        <v>44</v>
      </c>
      <c r="B13" s="31" t="s">
        <v>67</v>
      </c>
    </row>
  </sheetData>
  <mergeCells count="2">
    <mergeCell ref="A3:B3"/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EE981A3D90DB4CAC89B32B1BBE18EA" ma:contentTypeVersion="0" ma:contentTypeDescription="Create a new document." ma:contentTypeScope="" ma:versionID="84cd35d09d9a44eb9ed0d683265232a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F2F12-854D-479C-8733-8C9CA64D8A1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4551883-D072-47A6-88E1-CC3BAD0AE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44750C-4A30-4B70-BC94-03E9E71E3C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CRs</vt:lpstr>
      <vt:lpstr>Bugs</vt:lpstr>
      <vt:lpstr>Test Environments &amp; VMs</vt:lpstr>
      <vt:lpstr>Template Info &amp; Doc Control</vt:lpstr>
    </vt:vector>
  </TitlesOfParts>
  <Company>PEER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Mini STP</dc:title>
  <dc:creator>Lev Cocarell</dc:creator>
  <cp:lastModifiedBy>Lev Cocarell</cp:lastModifiedBy>
  <dcterms:created xsi:type="dcterms:W3CDTF">2015-12-23T20:25:42Z</dcterms:created>
  <dcterms:modified xsi:type="dcterms:W3CDTF">2026-07-06T21:31:34Z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0x010100CAEE981A3D90DB4CAC89B32B1BBE18EA</vt:lpwstr>
  </property>
</Properties>
</file>