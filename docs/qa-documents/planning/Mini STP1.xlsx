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repos\pf-evatec\peer-factory-evatec-2026-q2\docs\qa-documents\planning\"/>
    </mc:Choice>
  </mc:AlternateContent>
  <xr:revisionPtr revIDLastSave="0" documentId="8_{302760EE-BD34-4E6D-B8C8-7C824047D32C}" xr6:coauthVersionLast="47" xr6:coauthVersionMax="47" xr10:uidLastSave="{00000000-0000-0000-0000-000000000000}"/>
  <bookViews>
    <workbookView xWindow="25974" yWindow="-6833" windowWidth="26301" windowHeight="15799" xr2:uid="{00000000-000D-0000-FFFF-FFFF00000000}"/>
  </bookViews>
  <sheets>
    <sheet name="Overview" sheetId="1" r:id="rId1"/>
    <sheet name="Test Environments &amp; VMs" sheetId="5" r:id="rId2"/>
    <sheet name="Template Info &amp; Doc Control" sheetId="3" r:id="rId3"/>
  </sheets>
  <definedNames>
    <definedName name="VSTS_7cd0c1e9_4dd5_4bc8_9da7_632c27882122_1" localSheetId="1" hidden="1">#REF!</definedName>
    <definedName name="VSTS_7cd0c1e9_4dd5_4bc8_9da7_632c27882122_1" hidden="1">#REF!</definedName>
    <definedName name="VSTS_7cd0c1e9_4dd5_4bc8_9da7_632c27882122_10010" localSheetId="1" hidden="1">#REF!</definedName>
    <definedName name="VSTS_7cd0c1e9_4dd5_4bc8_9da7_632c27882122_10010" hidden="1">#REF!</definedName>
    <definedName name="VSTS_7cd0c1e9_4dd5_4bc8_9da7_632c27882122_10011" localSheetId="1" hidden="1">#REF!</definedName>
    <definedName name="VSTS_7cd0c1e9_4dd5_4bc8_9da7_632c27882122_10011" hidden="1">#REF!</definedName>
    <definedName name="VSTS_7cd0c1e9_4dd5_4bc8_9da7_632c27882122_10019" localSheetId="1" hidden="1">#REF!</definedName>
    <definedName name="VSTS_7cd0c1e9_4dd5_4bc8_9da7_632c27882122_10019" hidden="1">#REF!</definedName>
    <definedName name="VSTS_7cd0c1e9_4dd5_4bc8_9da7_632c27882122_10020" localSheetId="1" hidden="1">#REF!</definedName>
    <definedName name="VSTS_7cd0c1e9_4dd5_4bc8_9da7_632c27882122_10020" hidden="1">#REF!</definedName>
    <definedName name="VSTS_7cd0c1e9_4dd5_4bc8_9da7_632c27882122_10030" localSheetId="1" hidden="1">#REF!</definedName>
    <definedName name="VSTS_7cd0c1e9_4dd5_4bc8_9da7_632c27882122_10030" hidden="1">#REF!</definedName>
    <definedName name="VSTS_7cd0c1e9_4dd5_4bc8_9da7_632c27882122_10243" localSheetId="1" hidden="1">#REF!</definedName>
    <definedName name="VSTS_7cd0c1e9_4dd5_4bc8_9da7_632c27882122_10243" hidden="1">#REF!</definedName>
    <definedName name="VSTS_7cd0c1e9_4dd5_4bc8_9da7_632c27882122_10249" localSheetId="1" hidden="1">#REF!</definedName>
    <definedName name="VSTS_7cd0c1e9_4dd5_4bc8_9da7_632c27882122_10249" hidden="1">#REF!</definedName>
    <definedName name="VSTS_7cd0c1e9_4dd5_4bc8_9da7_632c27882122_2" localSheetId="1" hidden="1">#REF!</definedName>
    <definedName name="VSTS_7cd0c1e9_4dd5_4bc8_9da7_632c27882122_2" hidden="1">#REF!</definedName>
    <definedName name="VSTS_7cd0c1e9_4dd5_4bc8_9da7_632c27882122_22" localSheetId="1" hidden="1">#REF!</definedName>
    <definedName name="VSTS_7cd0c1e9_4dd5_4bc8_9da7_632c27882122_22" hidden="1">#REF!</definedName>
    <definedName name="VSTS_7cd0c1e9_4dd5_4bc8_9da7_632c27882122_24" localSheetId="1" hidden="1">#REF!</definedName>
    <definedName name="VSTS_7cd0c1e9_4dd5_4bc8_9da7_632c27882122_24" hidden="1">#REF!</definedName>
    <definedName name="VSTS_7cd0c1e9_4dd5_4bc8_9da7_632c27882122_25" localSheetId="1" hidden="1">#REF!</definedName>
    <definedName name="VSTS_7cd0c1e9_4dd5_4bc8_9da7_632c27882122_25" hidden="1">#REF!</definedName>
    <definedName name="VSTS_7cd0c1e9_4dd5_4bc8_9da7_632c27882122_n105" localSheetId="1" hidden="1">#REF!</definedName>
    <definedName name="VSTS_7cd0c1e9_4dd5_4bc8_9da7_632c27882122_n105" hidden="1">#REF!</definedName>
    <definedName name="VSTS_7cd0c1e9_4dd5_4bc8_9da7_632c27882122_n3" localSheetId="1" hidden="1">#REF!</definedName>
    <definedName name="VSTS_7cd0c1e9_4dd5_4bc8_9da7_632c27882122_n3" hidden="1">#REF!</definedName>
    <definedName name="VSTS_7cd0c1e9_4dd5_4bc8_9da7_632c27882122_n7" localSheetId="1" hidden="1">#REF!</definedName>
    <definedName name="VSTS_7cd0c1e9_4dd5_4bc8_9da7_632c27882122_n7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J30" i="1"/>
  <c r="L28" i="1"/>
  <c r="L30" i="1" s="1"/>
  <c r="F28" i="1"/>
  <c r="F14" i="1"/>
  <c r="F30" i="1" s="1"/>
  <c r="E13" i="1"/>
  <c r="D37" i="1" l="1"/>
  <c r="K14" i="1"/>
  <c r="J13" i="1"/>
  <c r="D34" i="1" l="1"/>
  <c r="D35" i="1" s="1"/>
  <c r="D36" i="1" s="1"/>
  <c r="D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Sylvia Ward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Sylvia Ward:</t>
        </r>
        <r>
          <rPr>
            <sz val="9"/>
            <color indexed="81"/>
            <rFont val="Tahoma"/>
            <charset val="1"/>
          </rPr>
          <t xml:space="preserve">
Update</t>
        </r>
      </text>
    </comment>
    <comment ref="F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Sylvia Ward:</t>
        </r>
        <r>
          <rPr>
            <sz val="9"/>
            <color indexed="81"/>
            <rFont val="Tahoma"/>
            <family val="2"/>
          </rPr>
          <t xml:space="preserve">
All hours in this STP are just an example - please update!</t>
        </r>
      </text>
    </comment>
    <comment ref="E1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Sylvia Ward:</t>
        </r>
        <r>
          <rPr>
            <sz val="9"/>
            <color indexed="81"/>
            <rFont val="Tahoma"/>
            <charset val="1"/>
          </rPr>
          <t xml:space="preserve">
Create one writing task unless mutliple testers.</t>
        </r>
      </text>
    </comment>
    <comment ref="F14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Sylvia Ward:</t>
        </r>
        <r>
          <rPr>
            <sz val="9"/>
            <color indexed="81"/>
            <rFont val="Tahoma"/>
            <charset val="1"/>
          </rPr>
          <t xml:space="preserve">
Create one testing task unless multiple testers.</t>
        </r>
      </text>
    </comment>
    <comment ref="F18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Sylvia Ward:</t>
        </r>
        <r>
          <rPr>
            <sz val="9"/>
            <color indexed="81"/>
            <rFont val="Tahoma"/>
            <charset val="1"/>
          </rPr>
          <t xml:space="preserve">
Create one regression task for both creating the ATP and/or RTP and for executing unless a lot of regression will be done.</t>
        </r>
      </text>
    </comment>
    <comment ref="F28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Sylvia Ward:</t>
        </r>
        <r>
          <rPr>
            <sz val="9"/>
            <color indexed="81"/>
            <rFont val="Tahoma"/>
            <charset val="1"/>
          </rPr>
          <t xml:space="preserve">
Create one Task for all "Other" items. Copy the break out from here into the Description.</t>
        </r>
      </text>
    </comment>
    <comment ref="D3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Sylvia Ward:</t>
        </r>
        <r>
          <rPr>
            <sz val="9"/>
            <color indexed="81"/>
            <rFont val="Tahoma"/>
            <family val="2"/>
          </rPr>
          <t xml:space="preserve">
Update or erase if no budget assigned (e.g., Service Pack releases)</t>
        </r>
      </text>
    </comment>
    <comment ref="H38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Sylvia Ward:</t>
        </r>
        <r>
          <rPr>
            <sz val="9"/>
            <color indexed="81"/>
            <rFont val="Tahoma"/>
            <charset val="1"/>
          </rPr>
          <t xml:space="preserve">
Please fill in with any additional comments.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Kristen Matsumoto</author>
    <author>Tina Chonko</author>
  </authors>
  <commentList>
    <comment ref="A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Kristen Matsumoto:</t>
        </r>
        <r>
          <rPr>
            <sz val="9"/>
            <color indexed="81"/>
            <rFont val="Tahoma"/>
            <family val="2"/>
          </rPr>
          <t xml:space="preserve">
It is important to specify which license to use as there are many options. If not sure, ask your manager.</t>
        </r>
      </text>
    </comment>
    <comment ref="A9" authorId="1" shapeId="0" xr:uid="{00000000-0006-0000-0100-000002000000}">
      <text>
        <r>
          <rPr>
            <b/>
            <sz val="9"/>
            <color indexed="81"/>
            <rFont val="Tahoma"/>
            <charset val="1"/>
          </rPr>
          <t>Tina Chonko:</t>
        </r>
        <r>
          <rPr>
            <sz val="9"/>
            <color indexed="81"/>
            <rFont val="Tahoma"/>
            <charset val="1"/>
          </rPr>
          <t xml:space="preserve">
If testing in a development environment, indicate the version of Visual Studio and .NET used for testing.</t>
        </r>
      </text>
    </comment>
    <comment ref="A10" authorId="1" shapeId="0" xr:uid="{00000000-0006-0000-0100-000003000000}">
      <text>
        <r>
          <rPr>
            <b/>
            <sz val="9"/>
            <color indexed="81"/>
            <rFont val="Tahoma"/>
            <charset val="1"/>
          </rPr>
          <t>Tina Chonko:</t>
        </r>
        <r>
          <rPr>
            <sz val="9"/>
            <color indexed="81"/>
            <rFont val="Tahoma"/>
            <charset val="1"/>
          </rPr>
          <t xml:space="preserve">
Indicate VM to use or if one must still be set up. View the VM List on PEERHub for details about available VMs: https://vmlist.peergroup.com/</t>
        </r>
      </text>
    </comment>
  </commentList>
</comments>
</file>

<file path=xl/sharedStrings.xml><?xml version="1.0" encoding="utf-8"?>
<sst xmlns="http://schemas.openxmlformats.org/spreadsheetml/2006/main" count="112" uniqueCount="91">
  <si>
    <t>Testing Estimate</t>
  </si>
  <si>
    <t>Consult time with Dev</t>
  </si>
  <si>
    <t>Sys-Testing \consult</t>
  </si>
  <si>
    <t>Environment Setup, installing builds</t>
  </si>
  <si>
    <t>Sys-Testing \setup</t>
  </si>
  <si>
    <t>Bug verification</t>
  </si>
  <si>
    <t>Sys-Testing\verify</t>
  </si>
  <si>
    <t>Sys-Testing\report</t>
  </si>
  <si>
    <t>Unplanned changes / contingency</t>
  </si>
  <si>
    <t>Sys-Testing\misc</t>
  </si>
  <si>
    <t>Timekeeping</t>
  </si>
  <si>
    <t>Prepare Software Test Plan</t>
  </si>
  <si>
    <t>Sys-Testing\plan</t>
  </si>
  <si>
    <t>New Functionality</t>
  </si>
  <si>
    <t>Ad hoc testing</t>
  </si>
  <si>
    <t>Regression</t>
  </si>
  <si>
    <t>General / Other</t>
  </si>
  <si>
    <t>Budget:</t>
  </si>
  <si>
    <t>Hours:</t>
  </si>
  <si>
    <r>
      <t>Budget</t>
    </r>
    <r>
      <rPr>
        <b/>
        <sz val="12"/>
        <color theme="1"/>
        <rFont val="Calibri"/>
        <family val="2"/>
        <scheme val="minor"/>
      </rPr>
      <t xml:space="preserve"> (check TK or ask PM)</t>
    </r>
  </si>
  <si>
    <t>Estimated Effort</t>
  </si>
  <si>
    <t>Sys-Testing\write</t>
  </si>
  <si>
    <t>Sys-Testing\QA Test</t>
  </si>
  <si>
    <t>Comments</t>
  </si>
  <si>
    <t>Sys-Testing\regression</t>
  </si>
  <si>
    <t>Rqmt/CR/Bug ID</t>
  </si>
  <si>
    <t>n/a</t>
  </si>
  <si>
    <t>Writing Estimate</t>
  </si>
  <si>
    <t>Bug description</t>
  </si>
  <si>
    <t>Requirement description</t>
  </si>
  <si>
    <t>CR description</t>
  </si>
  <si>
    <t>Work Item Type</t>
  </si>
  <si>
    <t>Requirement</t>
  </si>
  <si>
    <t>Bug</t>
  </si>
  <si>
    <t>CR</t>
  </si>
  <si>
    <t>Assumptions, Areas Not Tested, Other supporting information:</t>
  </si>
  <si>
    <t>Wrap up</t>
  </si>
  <si>
    <t>Total New - Testing</t>
  </si>
  <si>
    <t>Total Regression</t>
  </si>
  <si>
    <t>Total New - Writing</t>
  </si>
  <si>
    <t>Total General</t>
  </si>
  <si>
    <t>Test case reviews</t>
  </si>
  <si>
    <t>Sys-Testing\review</t>
  </si>
  <si>
    <t xml:space="preserve">Include in this section any assumptions, areas you will not be testing (but feel you should be) and any other information that will help explain your stategy, risks, etc. </t>
  </si>
  <si>
    <t>Template Version:</t>
  </si>
  <si>
    <t>Release Date:</t>
  </si>
  <si>
    <t>Document Owner:</t>
  </si>
  <si>
    <t>Sylvia Ward</t>
  </si>
  <si>
    <t>Approvers:</t>
  </si>
  <si>
    <t>Next Review Date:</t>
  </si>
  <si>
    <t>Expiration Date:</t>
  </si>
  <si>
    <t>Template Information:</t>
  </si>
  <si>
    <t>Document Control Information:</t>
  </si>
  <si>
    <t>Timekeeping
Actuals</t>
  </si>
  <si>
    <t>Get from TK</t>
  </si>
  <si>
    <t>Wrap-up: Actuals and analysis/comments</t>
  </si>
  <si>
    <t>Grand Total (estimate)</t>
  </si>
  <si>
    <t>Grand Total (actual)</t>
  </si>
  <si>
    <t>[Project TK and customer] Release - [Description] Mini Software Test Plan</t>
  </si>
  <si>
    <t>[Rqmt ID]</t>
  </si>
  <si>
    <t>[Bug ID]</t>
  </si>
  <si>
    <t>[CR ID]</t>
  </si>
  <si>
    <t>Update PFS</t>
  </si>
  <si>
    <t>Difference (hours)</t>
  </si>
  <si>
    <t>% Difference to Budget</t>
  </si>
  <si>
    <t>1.2</t>
  </si>
  <si>
    <t>Actual Effort (hours)</t>
  </si>
  <si>
    <t>Actual Effort (% Diff to Budget)</t>
  </si>
  <si>
    <t>Describe your regression areas/strategy here. Add a tab if needed. 
ATP prep &amp; execution go here.</t>
  </si>
  <si>
    <r>
      <t xml:space="preserve">This template is intended for </t>
    </r>
    <r>
      <rPr>
        <b/>
        <sz val="11"/>
        <color theme="1"/>
        <rFont val="Calibri"/>
        <family val="2"/>
        <scheme val="minor"/>
      </rPr>
      <t xml:space="preserve">small/simple projects/product releases </t>
    </r>
    <r>
      <rPr>
        <sz val="11"/>
        <color theme="1"/>
        <rFont val="Calibri"/>
        <family val="2"/>
        <scheme val="minor"/>
      </rPr>
      <t>(e.g., service packs). Use the following guidelines:
-  QA effort is ~80 hours or less. If it is more, then you need permission from your project/product Manager to use the mini-STP.
-  Only 1 QA resource. If 2 QA resources (but other criteria apply), then add a Resource column to the right of the Timekeeping column. If &gt;2 then use full STP.
-  There is no "manage" activity in the template because it is assumed it is small enough that it is not needed. It can be added if needed.
-  Do not use this STP template if testing SEMI standard changes (product) or kicking off test automation initiatives.
-  There is no "task" column because it is assumed that the Test task(s) will be linked to the Requirement/CR/Bug listed in each row.
Basically, if you find that this template requires too much modification to outline your test strategy, then use the full STP.</t>
    </r>
  </si>
  <si>
    <t>Services Management Team</t>
  </si>
  <si>
    <t xml:space="preserve">Include putting transferable items (scripts) in appropriate fileshare locations. </t>
  </si>
  <si>
    <t>Azure Writing
Actuals</t>
  </si>
  <si>
    <t>Azure Testing
Actuals</t>
  </si>
  <si>
    <t>Get From Azure</t>
  </si>
  <si>
    <t>Comment if Azure &amp; TK significantly different</t>
  </si>
  <si>
    <t>Get from Azure</t>
  </si>
  <si>
    <t>February 10, 2022</t>
  </si>
  <si>
    <t>February 10, 2024</t>
  </si>
  <si>
    <t>May 10, 2024</t>
  </si>
  <si>
    <t>Test Environments &amp; VMs</t>
  </si>
  <si>
    <t>Every project release requires testing on a specific environment (i.e., Windows 10 Enterprise LTSC 2019, 64-bit) or on multiple environments (i.e., development environment, regression testing, etc.). It is important to clarify in this section what environment(s) and what VM(s) you will be using / will need set up. If testing on multiple environments, list each test environment and VM separately.</t>
  </si>
  <si>
    <t>Product version:</t>
  </si>
  <si>
    <t>&lt;Product name (i.e., PTO, EIB, PFSC) and version number&gt;</t>
  </si>
  <si>
    <t xml:space="preserve">License type to use: </t>
  </si>
  <si>
    <t>64bit, EDA, SECS/GEM, 300mm, E10, VA</t>
  </si>
  <si>
    <t>Test environment:</t>
  </si>
  <si>
    <t>&lt;OS system/version&gt;</t>
  </si>
  <si>
    <t>VM available:</t>
  </si>
  <si>
    <t>&lt;Yes/No&gt;</t>
  </si>
  <si>
    <t>&lt;VM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</si>
</sst>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8"/>
      <color theme="3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5"/>
      <color rgb="FF2B4384"/>
      <name val="Candara"/>
      <family val="2"/>
    </font>
    <font>
      <sz val="11"/>
      <color rgb="FF2B4384"/>
      <name val="Candara"/>
      <family val="2"/>
    </font>
    <font>
      <b/>
      <sz val="18"/>
      <color rgb="FF2B4384"/>
      <name val="Candara"/>
      <family val="2"/>
    </font>
    <font>
      <b/>
      <sz val="18"/>
      <color theme="3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3"/>
      </left>
      <right/>
      <top/>
      <bottom/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thin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  <border>
      <left/>
      <right style="medium">
        <color theme="3"/>
      </right>
      <top/>
      <bottom style="medium">
        <color theme="3"/>
      </bottom>
      <diagonal/>
    </border>
    <border>
      <left/>
      <right/>
      <top/>
      <bottom style="double">
        <color theme="4"/>
      </bottom>
      <diagonal/>
    </border>
    <border>
      <left style="thin">
        <color indexed="64"/>
      </left>
      <right/>
      <top/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theme="4"/>
      </bottom>
      <diagonal/>
    </border>
    <border>
      <left/>
      <right/>
      <top style="double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3"/>
      </right>
      <top/>
      <bottom/>
      <diagonal/>
    </border>
  </borders>
  <cellStyleXfs count="20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3" fillId="0" borderId="0"/>
    <xf numFmtId="0" fontId="14" fillId="0" borderId="0">
      <alignment horizontal="left"/>
    </xf>
    <xf numFmtId="0" fontId="15" fillId="0" borderId="0">
      <alignment horizontal="left" wrapText="1"/>
    </xf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3" fillId="0" borderId="0"/>
  </cellStyleXfs>
  <cellXfs count="9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0" fillId="0" borderId="0" xfId="0" applyNumberFormat="1"/>
    <xf numFmtId="0" fontId="3" fillId="0" borderId="0" xfId="0" applyFont="1" applyAlignment="1">
      <alignment horizontal="left" vertical="top" wrapText="1"/>
    </xf>
    <xf numFmtId="0" fontId="9" fillId="3" borderId="3" xfId="0" applyFont="1" applyFill="1" applyBorder="1"/>
    <xf numFmtId="0" fontId="3" fillId="0" borderId="0" xfId="0" applyFont="1" applyAlignment="1">
      <alignment horizontal="right" wrapText="1"/>
    </xf>
    <xf numFmtId="0" fontId="0" fillId="0" borderId="0" xfId="0" applyFont="1" applyFill="1" applyAlignment="1">
      <alignment horizontal="left" vertical="top" wrapText="1"/>
    </xf>
    <xf numFmtId="0" fontId="0" fillId="0" borderId="0" xfId="0" applyFill="1" applyBorder="1"/>
    <xf numFmtId="0" fontId="9" fillId="0" borderId="0" xfId="0" applyFont="1" applyFill="1" applyBorder="1"/>
    <xf numFmtId="0" fontId="0" fillId="0" borderId="0" xfId="0" applyBorder="1"/>
    <xf numFmtId="0" fontId="10" fillId="0" borderId="0" xfId="0" applyFont="1" applyFill="1" applyBorder="1"/>
    <xf numFmtId="0" fontId="3" fillId="0" borderId="0" xfId="0" applyFont="1" applyAlignment="1">
      <alignment horizontal="left" wrapText="1"/>
    </xf>
    <xf numFmtId="0" fontId="0" fillId="0" borderId="0" xfId="0"/>
    <xf numFmtId="0" fontId="6" fillId="0" borderId="0" xfId="0" applyNumberFormat="1" applyFont="1" applyFill="1"/>
    <xf numFmtId="0" fontId="3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0" fontId="0" fillId="0" borderId="6" xfId="0" applyBorder="1"/>
    <xf numFmtId="0" fontId="9" fillId="3" borderId="8" xfId="0" applyFont="1" applyFill="1" applyBorder="1"/>
    <xf numFmtId="0" fontId="9" fillId="3" borderId="4" xfId="0" applyFont="1" applyFill="1" applyBorder="1"/>
    <xf numFmtId="10" fontId="9" fillId="3" borderId="9" xfId="0" applyNumberFormat="1" applyFont="1" applyFill="1" applyBorder="1"/>
    <xf numFmtId="10" fontId="9" fillId="3" borderId="4" xfId="0" applyNumberFormat="1" applyFont="1" applyFill="1" applyBorder="1"/>
    <xf numFmtId="0" fontId="9" fillId="3" borderId="5" xfId="0" applyFont="1" applyFill="1" applyBorder="1"/>
    <xf numFmtId="0" fontId="3" fillId="0" borderId="10" xfId="3" applyBorder="1" applyAlignment="1">
      <alignment wrapText="1"/>
    </xf>
    <xf numFmtId="0" fontId="3" fillId="0" borderId="10" xfId="3" applyBorder="1"/>
    <xf numFmtId="0" fontId="19" fillId="0" borderId="0" xfId="1" applyFont="1" applyBorder="1"/>
    <xf numFmtId="0" fontId="16" fillId="0" borderId="0" xfId="0" applyFont="1" applyBorder="1"/>
    <xf numFmtId="0" fontId="9" fillId="2" borderId="2" xfId="3" applyFont="1" applyFill="1" applyAlignment="1">
      <alignment wrapText="1"/>
    </xf>
    <xf numFmtId="0" fontId="3" fillId="0" borderId="10" xfId="3" applyFont="1" applyBorder="1" applyAlignment="1">
      <alignment wrapText="1"/>
    </xf>
    <xf numFmtId="49" fontId="0" fillId="0" borderId="0" xfId="0" applyNumberFormat="1"/>
    <xf numFmtId="0" fontId="0" fillId="0" borderId="0" xfId="0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16" fillId="0" borderId="12" xfId="0" applyFont="1" applyBorder="1"/>
    <xf numFmtId="0" fontId="3" fillId="0" borderId="15" xfId="3" applyBorder="1"/>
    <xf numFmtId="164" fontId="0" fillId="0" borderId="0" xfId="0" applyNumberFormat="1" applyBorder="1"/>
    <xf numFmtId="0" fontId="3" fillId="2" borderId="0" xfId="0" applyFont="1" applyFill="1" applyBorder="1"/>
    <xf numFmtId="0" fontId="0" fillId="0" borderId="0" xfId="0" applyBorder="1" applyAlignment="1">
      <alignment vertical="top" wrapText="1"/>
    </xf>
    <xf numFmtId="0" fontId="9" fillId="2" borderId="6" xfId="0" applyNumberFormat="1" applyFont="1" applyFill="1" applyBorder="1"/>
    <xf numFmtId="164" fontId="0" fillId="0" borderId="6" xfId="0" applyNumberFormat="1" applyBorder="1"/>
    <xf numFmtId="0" fontId="0" fillId="0" borderId="6" xfId="0" applyBorder="1" applyAlignment="1">
      <alignment vertical="top" wrapText="1"/>
    </xf>
    <xf numFmtId="0" fontId="0" fillId="0" borderId="0" xfId="0" applyFill="1"/>
    <xf numFmtId="0" fontId="3" fillId="0" borderId="6" xfId="0" applyFont="1" applyFill="1" applyBorder="1"/>
    <xf numFmtId="0" fontId="0" fillId="0" borderId="18" xfId="0" applyBorder="1"/>
    <xf numFmtId="0" fontId="6" fillId="0" borderId="19" xfId="0" applyNumberFormat="1" applyFont="1" applyFill="1" applyBorder="1"/>
    <xf numFmtId="0" fontId="6" fillId="0" borderId="14" xfId="0" applyNumberFormat="1" applyFont="1" applyFill="1" applyBorder="1"/>
    <xf numFmtId="0" fontId="6" fillId="0" borderId="20" xfId="0" applyNumberFormat="1" applyFont="1" applyFill="1" applyBorder="1"/>
    <xf numFmtId="0" fontId="0" fillId="0" borderId="16" xfId="0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0" fontId="0" fillId="0" borderId="0" xfId="0" applyFont="1"/>
    <xf numFmtId="0" fontId="0" fillId="0" borderId="0" xfId="0" applyFont="1" applyAlignment="1">
      <alignment horizontal="right"/>
    </xf>
    <xf numFmtId="0" fontId="6" fillId="0" borderId="17" xfId="0" applyFont="1" applyFill="1" applyBorder="1" applyAlignment="1">
      <alignment horizontal="left"/>
    </xf>
    <xf numFmtId="0" fontId="6" fillId="0" borderId="18" xfId="0" applyNumberFormat="1" applyFont="1" applyFill="1" applyBorder="1"/>
    <xf numFmtId="0" fontId="0" fillId="0" borderId="17" xfId="0" applyBorder="1"/>
    <xf numFmtId="0" fontId="6" fillId="0" borderId="18" xfId="0" applyNumberFormat="1" applyFont="1" applyFill="1" applyBorder="1" applyAlignment="1">
      <alignment horizontal="right"/>
    </xf>
    <xf numFmtId="0" fontId="6" fillId="0" borderId="13" xfId="0" applyFont="1" applyFill="1" applyBorder="1" applyAlignment="1">
      <alignment horizontal="left"/>
    </xf>
    <xf numFmtId="0" fontId="0" fillId="0" borderId="14" xfId="0" applyBorder="1"/>
    <xf numFmtId="0" fontId="0" fillId="0" borderId="13" xfId="0" applyBorder="1"/>
    <xf numFmtId="0" fontId="5" fillId="0" borderId="14" xfId="0" applyFont="1" applyBorder="1" applyAlignment="1">
      <alignment wrapText="1"/>
    </xf>
    <xf numFmtId="0" fontId="6" fillId="0" borderId="21" xfId="0" applyFont="1" applyFill="1" applyBorder="1" applyAlignment="1">
      <alignment horizontal="left"/>
    </xf>
    <xf numFmtId="0" fontId="0" fillId="0" borderId="22" xfId="0" applyBorder="1"/>
    <xf numFmtId="0" fontId="7" fillId="0" borderId="22" xfId="0" applyFont="1" applyFill="1" applyBorder="1"/>
    <xf numFmtId="0" fontId="0" fillId="0" borderId="22" xfId="0" applyBorder="1" applyAlignment="1">
      <alignment wrapText="1"/>
    </xf>
    <xf numFmtId="0" fontId="5" fillId="0" borderId="22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6" fillId="0" borderId="22" xfId="0" applyNumberFormat="1" applyFont="1" applyFill="1" applyBorder="1"/>
    <xf numFmtId="0" fontId="0" fillId="0" borderId="21" xfId="0" applyBorder="1"/>
    <xf numFmtId="0" fontId="3" fillId="0" borderId="23" xfId="0" applyFont="1" applyBorder="1" applyAlignment="1">
      <alignment horizontal="right"/>
    </xf>
    <xf numFmtId="0" fontId="3" fillId="0" borderId="22" xfId="0" applyFont="1" applyBorder="1"/>
    <xf numFmtId="0" fontId="3" fillId="0" borderId="11" xfId="3" applyBorder="1"/>
    <xf numFmtId="0" fontId="3" fillId="0" borderId="22" xfId="0" applyFont="1" applyBorder="1" applyAlignment="1">
      <alignment horizontal="right"/>
    </xf>
    <xf numFmtId="1" fontId="9" fillId="3" borderId="24" xfId="0" applyNumberFormat="1" applyFont="1" applyFill="1" applyBorder="1"/>
    <xf numFmtId="0" fontId="0" fillId="4" borderId="6" xfId="0" applyFill="1" applyBorder="1" applyAlignment="1"/>
    <xf numFmtId="0" fontId="0" fillId="4" borderId="0" xfId="0" applyFont="1" applyFill="1" applyBorder="1" applyAlignment="1"/>
    <xf numFmtId="0" fontId="0" fillId="4" borderId="0" xfId="0" applyFont="1" applyFill="1" applyAlignment="1"/>
    <xf numFmtId="0" fontId="0" fillId="4" borderId="0" xfId="0" applyFill="1" applyAlignment="1"/>
    <xf numFmtId="0" fontId="0" fillId="4" borderId="0" xfId="0" applyFill="1" applyBorder="1" applyAlignment="1"/>
    <xf numFmtId="0" fontId="0" fillId="0" borderId="23" xfId="0" applyBorder="1" applyAlignment="1">
      <alignment wrapText="1"/>
    </xf>
    <xf numFmtId="0" fontId="0" fillId="0" borderId="0" xfId="0" applyAlignment="1"/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4" fillId="3" borderId="7" xfId="2" applyFont="1" applyFill="1" applyBorder="1" applyAlignment="1">
      <alignment wrapText="1"/>
    </xf>
    <xf numFmtId="0" fontId="24" fillId="0" borderId="0" xfId="1" applyFont="1" applyBorder="1"/>
    <xf numFmtId="0" fontId="25" fillId="0" borderId="0" xfId="4" applyFont="1"/>
    <xf numFmtId="0" fontId="3" fillId="0" borderId="0" xfId="0" applyFont="1" applyBorder="1" applyAlignment="1">
      <alignment horizontal="center" wrapText="1"/>
    </xf>
    <xf numFmtId="0" fontId="9" fillId="2" borderId="0" xfId="3" applyFont="1" applyFill="1" applyBorder="1" applyAlignment="1">
      <alignment wrapText="1"/>
    </xf>
    <xf numFmtId="0" fontId="0" fillId="0" borderId="0" xfId="0" applyAlignment="1"/>
    <xf numFmtId="0" fontId="22" fillId="4" borderId="0" xfId="2" applyFont="1" applyFill="1" applyBorder="1" applyAlignment="1">
      <alignment wrapText="1"/>
    </xf>
    <xf numFmtId="0" fontId="23" fillId="4" borderId="0" xfId="0" applyFont="1" applyFill="1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20">
    <cellStyle name="Case Description" xfId="8" xr:uid="{00000000-0005-0000-0000-000000000000}"/>
    <cellStyle name="Case Name" xfId="7" xr:uid="{00000000-0005-0000-0000-000001000000}"/>
    <cellStyle name="Heading 1" xfId="2" builtinId="16"/>
    <cellStyle name="Normal" xfId="0" builtinId="0"/>
    <cellStyle name="Normal 10" xfId="5" xr:uid="{00000000-0005-0000-0000-000004000000}"/>
    <cellStyle name="Normal 11" xfId="18" xr:uid="{00000000-0005-0000-0000-000005000000}"/>
    <cellStyle name="Normal 11 2" xfId="19" xr:uid="{00000000-0005-0000-0000-000006000000}"/>
    <cellStyle name="Normal 2" xfId="6" xr:uid="{00000000-0005-0000-0000-000007000000}"/>
    <cellStyle name="Normal 2 2" xfId="11" xr:uid="{00000000-0005-0000-0000-000008000000}"/>
    <cellStyle name="Normal 3" xfId="9" xr:uid="{00000000-0005-0000-0000-000009000000}"/>
    <cellStyle name="Normal 3 2" xfId="12" xr:uid="{00000000-0005-0000-0000-00000A000000}"/>
    <cellStyle name="Normal 4" xfId="10" xr:uid="{00000000-0005-0000-0000-00000B000000}"/>
    <cellStyle name="Normal 5" xfId="13" xr:uid="{00000000-0005-0000-0000-00000C000000}"/>
    <cellStyle name="Normal 6" xfId="15" xr:uid="{00000000-0005-0000-0000-00000D000000}"/>
    <cellStyle name="Normal 7" xfId="14" xr:uid="{00000000-0005-0000-0000-00000E000000}"/>
    <cellStyle name="Normal 8" xfId="16" xr:uid="{00000000-0005-0000-0000-00000F000000}"/>
    <cellStyle name="Normal 9" xfId="17" xr:uid="{00000000-0005-0000-0000-000010000000}"/>
    <cellStyle name="Title" xfId="1" builtinId="15"/>
    <cellStyle name="Title 2" xfId="4" xr:uid="{00000000-0005-0000-0000-000012000000}"/>
    <cellStyle name="Total" xfId="3" builtinId="25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B4384"/>
      <color rgb="FFFF9999"/>
      <color rgb="FF3C5FF4"/>
      <color rgb="FFFF66CC"/>
      <color rgb="FFD553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/>
  </sheetViews>
  <sheetFormatPr defaultRowHeight="14.3" x14ac:dyDescent="0.25"/>
  <cols>
    <col min="1" max="1" width="10.375" style="15" customWidth="1"/>
    <col min="2" max="2" width="15.25" customWidth="1"/>
    <col min="3" max="3" width="36.625" customWidth="1"/>
    <col min="4" max="4" width="22.75" customWidth="1"/>
    <col min="5" max="5" width="13" customWidth="1"/>
    <col min="6" max="6" width="12.25" customWidth="1"/>
    <col min="7" max="7" width="0.75" hidden="1" customWidth="1"/>
    <col min="8" max="8" width="70.875" style="12" customWidth="1"/>
    <col min="9" max="9" width="23.625" style="19" customWidth="1"/>
    <col min="10" max="10" width="14.75" style="12" customWidth="1"/>
    <col min="11" max="11" width="14.75" customWidth="1"/>
    <col min="12" max="12" width="14" style="15" customWidth="1"/>
    <col min="13" max="13" width="48.75" customWidth="1"/>
  </cols>
  <sheetData>
    <row r="1" spans="1:13" s="12" customFormat="1" ht="23.95" customHeight="1" x14ac:dyDescent="0.35">
      <c r="A1" s="85" t="s">
        <v>58</v>
      </c>
      <c r="H1" s="36"/>
      <c r="I1" s="28"/>
      <c r="J1" s="32"/>
    </row>
    <row r="2" spans="1:13" s="12" customFormat="1" ht="23.3" customHeight="1" x14ac:dyDescent="0.35">
      <c r="C2" s="27"/>
      <c r="H2" s="36"/>
      <c r="I2" s="87" t="s">
        <v>55</v>
      </c>
      <c r="J2" s="87"/>
      <c r="K2" s="87"/>
      <c r="L2" s="87"/>
      <c r="M2" s="87"/>
    </row>
    <row r="3" spans="1:13" ht="45.7" thickBot="1" x14ac:dyDescent="0.3">
      <c r="A3" s="25" t="s">
        <v>25</v>
      </c>
      <c r="B3" s="30" t="s">
        <v>31</v>
      </c>
      <c r="C3" s="26"/>
      <c r="D3" s="25" t="s">
        <v>10</v>
      </c>
      <c r="E3" s="25" t="s">
        <v>27</v>
      </c>
      <c r="F3" s="25" t="s">
        <v>0</v>
      </c>
      <c r="G3" s="12"/>
      <c r="H3" s="37" t="s">
        <v>23</v>
      </c>
      <c r="I3" s="72"/>
      <c r="J3" s="25" t="s">
        <v>72</v>
      </c>
      <c r="K3" s="25" t="s">
        <v>73</v>
      </c>
      <c r="L3" s="25" t="s">
        <v>53</v>
      </c>
      <c r="M3" s="25" t="s">
        <v>23</v>
      </c>
    </row>
    <row r="4" spans="1:13" ht="16.5" thickTop="1" x14ac:dyDescent="0.25">
      <c r="C4" s="4" t="s">
        <v>11</v>
      </c>
      <c r="D4" t="s">
        <v>12</v>
      </c>
      <c r="F4" s="16">
        <v>1</v>
      </c>
      <c r="J4" s="50"/>
      <c r="K4" s="51"/>
      <c r="L4" s="52" t="s">
        <v>54</v>
      </c>
    </row>
    <row r="5" spans="1:13" ht="14.95" x14ac:dyDescent="0.25">
      <c r="C5" s="4"/>
      <c r="F5" s="2"/>
      <c r="J5" s="33"/>
      <c r="K5" s="52"/>
    </row>
    <row r="6" spans="1:13" s="44" customFormat="1" ht="15.8" x14ac:dyDescent="0.3">
      <c r="A6" s="90" t="s">
        <v>13</v>
      </c>
      <c r="B6" s="91"/>
      <c r="C6" s="91"/>
      <c r="D6" s="91"/>
      <c r="E6" s="91"/>
      <c r="F6" s="91"/>
      <c r="G6" s="91"/>
      <c r="H6" s="91"/>
      <c r="I6" s="75"/>
      <c r="J6" s="76"/>
      <c r="K6" s="77"/>
      <c r="L6" s="78"/>
      <c r="M6" s="78"/>
    </row>
    <row r="7" spans="1:13" ht="15.8" customHeight="1" x14ac:dyDescent="0.25">
      <c r="A7" t="s">
        <v>59</v>
      </c>
      <c r="B7" t="s">
        <v>32</v>
      </c>
      <c r="C7" s="4" t="s">
        <v>29</v>
      </c>
      <c r="E7">
        <v>2</v>
      </c>
      <c r="F7" s="5">
        <v>4</v>
      </c>
      <c r="J7" s="51" t="s">
        <v>74</v>
      </c>
      <c r="K7" s="51" t="s">
        <v>74</v>
      </c>
    </row>
    <row r="8" spans="1:13" ht="15.8" customHeight="1" x14ac:dyDescent="0.25">
      <c r="A8" t="s">
        <v>60</v>
      </c>
      <c r="B8" t="s">
        <v>33</v>
      </c>
      <c r="C8" s="4" t="s">
        <v>28</v>
      </c>
      <c r="D8" s="15"/>
      <c r="E8">
        <v>0.25</v>
      </c>
      <c r="F8" s="5">
        <v>3</v>
      </c>
      <c r="J8" s="51" t="s">
        <v>74</v>
      </c>
      <c r="K8" s="51" t="s">
        <v>74</v>
      </c>
    </row>
    <row r="9" spans="1:13" ht="15.8" customHeight="1" x14ac:dyDescent="0.25">
      <c r="A9" t="s">
        <v>61</v>
      </c>
      <c r="B9" t="s">
        <v>34</v>
      </c>
      <c r="C9" s="4" t="s">
        <v>30</v>
      </c>
      <c r="D9" s="15"/>
      <c r="E9">
        <v>1</v>
      </c>
      <c r="F9" s="5">
        <v>2</v>
      </c>
      <c r="J9" s="51" t="s">
        <v>74</v>
      </c>
      <c r="K9" s="51" t="s">
        <v>74</v>
      </c>
    </row>
    <row r="10" spans="1:13" s="15" customFormat="1" ht="14.95" x14ac:dyDescent="0.25">
      <c r="C10" s="4"/>
      <c r="F10" s="5"/>
      <c r="H10" s="12"/>
      <c r="I10" s="19"/>
      <c r="J10" s="51"/>
      <c r="K10" s="51"/>
    </row>
    <row r="11" spans="1:13" ht="15.8" customHeight="1" x14ac:dyDescent="0.25">
      <c r="B11" t="s">
        <v>26</v>
      </c>
      <c r="C11" s="4" t="s">
        <v>14</v>
      </c>
      <c r="D11" t="s">
        <v>22</v>
      </c>
      <c r="F11" s="5">
        <v>2</v>
      </c>
      <c r="J11" s="51" t="s">
        <v>74</v>
      </c>
      <c r="K11" s="51" t="s">
        <v>74</v>
      </c>
    </row>
    <row r="12" spans="1:13" ht="14.95" x14ac:dyDescent="0.25">
      <c r="C12" s="4"/>
      <c r="F12" s="5"/>
      <c r="J12" s="34"/>
    </row>
    <row r="13" spans="1:13" s="15" customFormat="1" ht="15.8" x14ac:dyDescent="0.25">
      <c r="C13" s="54" t="s">
        <v>39</v>
      </c>
      <c r="D13" s="46" t="s">
        <v>21</v>
      </c>
      <c r="E13" s="55">
        <f>SUM(E7:E12)</f>
        <v>3.25</v>
      </c>
      <c r="F13" s="55"/>
      <c r="G13" s="46"/>
      <c r="H13" s="46"/>
      <c r="I13" s="56"/>
      <c r="J13" s="57">
        <f>SUM(J7:J12)</f>
        <v>0</v>
      </c>
      <c r="K13" s="46"/>
      <c r="L13" s="47" t="s">
        <v>54</v>
      </c>
      <c r="M13" s="15" t="s">
        <v>75</v>
      </c>
    </row>
    <row r="14" spans="1:13" ht="15.8" x14ac:dyDescent="0.25">
      <c r="C14" s="58" t="s">
        <v>37</v>
      </c>
      <c r="D14" s="59" t="s">
        <v>22</v>
      </c>
      <c r="E14" s="59"/>
      <c r="F14" s="48">
        <f>SUM(F7:F12)</f>
        <v>11</v>
      </c>
      <c r="G14" s="59"/>
      <c r="H14" s="59"/>
      <c r="I14" s="60"/>
      <c r="J14" s="61"/>
      <c r="K14" s="48">
        <f>SUM(K7:K12)</f>
        <v>0</v>
      </c>
      <c r="L14" s="49" t="s">
        <v>54</v>
      </c>
      <c r="M14" s="15" t="s">
        <v>75</v>
      </c>
    </row>
    <row r="15" spans="1:13" ht="14.95" x14ac:dyDescent="0.25">
      <c r="J15" s="33"/>
      <c r="L15" s="52"/>
    </row>
    <row r="16" spans="1:13" ht="14.95" x14ac:dyDescent="0.25">
      <c r="C16" s="6"/>
      <c r="F16" s="6"/>
      <c r="H16" s="38"/>
      <c r="I16" s="42"/>
      <c r="J16" s="35"/>
      <c r="L16" s="52"/>
    </row>
    <row r="17" spans="1:14" s="44" customFormat="1" ht="15.8" x14ac:dyDescent="0.3">
      <c r="A17" s="90" t="s">
        <v>15</v>
      </c>
      <c r="B17" s="91"/>
      <c r="C17" s="91"/>
      <c r="D17" s="91"/>
      <c r="E17" s="91"/>
      <c r="F17" s="91"/>
      <c r="G17" s="91"/>
      <c r="H17" s="91"/>
      <c r="I17" s="75"/>
      <c r="J17" s="79"/>
      <c r="K17" s="78"/>
      <c r="L17" s="77"/>
      <c r="M17" s="78"/>
    </row>
    <row r="18" spans="1:14" ht="30.1" x14ac:dyDescent="0.25">
      <c r="C18" s="62" t="s">
        <v>38</v>
      </c>
      <c r="D18" s="63" t="s">
        <v>24</v>
      </c>
      <c r="E18" s="71">
        <v>0</v>
      </c>
      <c r="F18" s="64">
        <v>4</v>
      </c>
      <c r="G18" s="63"/>
      <c r="H18" s="80" t="s">
        <v>68</v>
      </c>
      <c r="I18" s="65"/>
      <c r="J18" s="73" t="s">
        <v>76</v>
      </c>
      <c r="K18" s="73" t="s">
        <v>76</v>
      </c>
      <c r="L18" s="70" t="s">
        <v>54</v>
      </c>
    </row>
    <row r="19" spans="1:14" ht="14.95" x14ac:dyDescent="0.25">
      <c r="C19" s="9"/>
      <c r="F19" s="2"/>
      <c r="J19" s="33"/>
      <c r="L19" s="52"/>
    </row>
    <row r="20" spans="1:14" s="44" customFormat="1" ht="15.8" x14ac:dyDescent="0.3">
      <c r="A20" s="90" t="s">
        <v>16</v>
      </c>
      <c r="B20" s="91"/>
      <c r="C20" s="91"/>
      <c r="D20" s="91"/>
      <c r="E20" s="91"/>
      <c r="F20" s="91"/>
      <c r="G20" s="91"/>
      <c r="H20" s="91"/>
      <c r="I20" s="75"/>
      <c r="J20" s="79"/>
      <c r="K20" s="78"/>
      <c r="L20" s="77"/>
      <c r="M20" s="78"/>
    </row>
    <row r="21" spans="1:14" ht="14.95" x14ac:dyDescent="0.25">
      <c r="C21" s="1" t="s">
        <v>1</v>
      </c>
      <c r="D21" t="s">
        <v>2</v>
      </c>
      <c r="F21" s="2">
        <v>2</v>
      </c>
      <c r="J21" s="33"/>
      <c r="K21" s="2"/>
      <c r="L21" s="53" t="s">
        <v>54</v>
      </c>
    </row>
    <row r="22" spans="1:14" ht="14.95" x14ac:dyDescent="0.25">
      <c r="C22" s="1" t="s">
        <v>3</v>
      </c>
      <c r="D22" t="s">
        <v>4</v>
      </c>
      <c r="F22" s="2">
        <v>1</v>
      </c>
      <c r="J22" s="33"/>
      <c r="K22" s="2"/>
      <c r="L22" s="53" t="s">
        <v>54</v>
      </c>
    </row>
    <row r="23" spans="1:14" ht="14.95" x14ac:dyDescent="0.25">
      <c r="C23" s="1" t="s">
        <v>5</v>
      </c>
      <c r="D23" t="s">
        <v>6</v>
      </c>
      <c r="F23" s="2">
        <v>2</v>
      </c>
      <c r="J23" s="33"/>
      <c r="K23" s="2"/>
      <c r="L23" s="53" t="s">
        <v>54</v>
      </c>
    </row>
    <row r="24" spans="1:14" s="15" customFormat="1" ht="14.95" x14ac:dyDescent="0.25">
      <c r="C24" s="1" t="s">
        <v>41</v>
      </c>
      <c r="D24" s="15" t="s">
        <v>42</v>
      </c>
      <c r="F24" s="2">
        <v>1</v>
      </c>
      <c r="H24" s="12"/>
      <c r="I24" s="19"/>
      <c r="J24" s="33"/>
      <c r="K24" s="2"/>
      <c r="L24" s="53" t="s">
        <v>54</v>
      </c>
    </row>
    <row r="25" spans="1:14" ht="15.8" customHeight="1" x14ac:dyDescent="0.25">
      <c r="C25" s="1" t="s">
        <v>36</v>
      </c>
      <c r="D25" t="s">
        <v>7</v>
      </c>
      <c r="F25" s="2">
        <v>1</v>
      </c>
      <c r="H25" s="12" t="s">
        <v>71</v>
      </c>
      <c r="J25" s="33"/>
      <c r="K25" s="2"/>
      <c r="L25" s="53" t="s">
        <v>54</v>
      </c>
    </row>
    <row r="26" spans="1:14" ht="14.95" x14ac:dyDescent="0.25">
      <c r="C26" s="1" t="s">
        <v>8</v>
      </c>
      <c r="D26" t="s">
        <v>9</v>
      </c>
      <c r="F26" s="2">
        <v>2</v>
      </c>
      <c r="J26" s="33"/>
      <c r="K26" s="2"/>
      <c r="L26" s="53" t="s">
        <v>54</v>
      </c>
    </row>
    <row r="27" spans="1:14" s="15" customFormat="1" ht="14.95" x14ac:dyDescent="0.25">
      <c r="C27" s="4" t="s">
        <v>62</v>
      </c>
      <c r="D27" s="15" t="s">
        <v>9</v>
      </c>
      <c r="F27" s="2">
        <v>1</v>
      </c>
      <c r="H27" s="12"/>
      <c r="I27" s="19"/>
      <c r="J27" s="33"/>
      <c r="K27" s="2"/>
      <c r="L27" s="53"/>
    </row>
    <row r="28" spans="1:14" s="15" customFormat="1" ht="15.8" x14ac:dyDescent="0.25">
      <c r="C28" s="67" t="s">
        <v>40</v>
      </c>
      <c r="D28" s="63"/>
      <c r="E28" s="63"/>
      <c r="F28" s="68">
        <f>SUM(F21:F27)</f>
        <v>10</v>
      </c>
      <c r="G28" s="63"/>
      <c r="H28" s="63"/>
      <c r="I28" s="69"/>
      <c r="J28" s="66"/>
      <c r="K28" s="63"/>
      <c r="L28" s="70">
        <f>SUM(L21:L27)</f>
        <v>0</v>
      </c>
    </row>
    <row r="29" spans="1:14" x14ac:dyDescent="0.25">
      <c r="C29" s="1"/>
      <c r="D29" s="12"/>
      <c r="E29" s="12"/>
      <c r="H29" s="33"/>
      <c r="I29" s="18"/>
      <c r="J29" s="33"/>
      <c r="L29" s="52"/>
    </row>
    <row r="30" spans="1:14" ht="19.7" thickBot="1" x14ac:dyDescent="0.4">
      <c r="D30" s="88" t="s">
        <v>56</v>
      </c>
      <c r="E30" s="89"/>
      <c r="F30" s="29">
        <f>SUM(F4:F5)+F14+E13+SUM(E17:F19)+F28</f>
        <v>29.25</v>
      </c>
      <c r="I30" s="41" t="s">
        <v>57</v>
      </c>
      <c r="J30" s="29">
        <f>SUM(J6:J12)+SUM(J17:J19)</f>
        <v>0</v>
      </c>
      <c r="K30" s="29">
        <f>SUM(K6:K12)+SUM(K17:K19)</f>
        <v>0</v>
      </c>
      <c r="L30" s="29">
        <f>SUM(L13:L14)+SUM(L17:L19)+SUM(L28)+SUM(L4:L5)</f>
        <v>0</v>
      </c>
    </row>
    <row r="31" spans="1:14" ht="15.65" thickTop="1" thickBot="1" x14ac:dyDescent="0.3">
      <c r="C31" s="1"/>
      <c r="D31" s="12"/>
      <c r="E31" s="12"/>
      <c r="F31" s="10"/>
      <c r="J31" s="33"/>
    </row>
    <row r="32" spans="1:14" ht="24.45" thickBot="1" x14ac:dyDescent="0.45">
      <c r="C32" s="84" t="s">
        <v>17</v>
      </c>
      <c r="D32" s="84" t="s">
        <v>18</v>
      </c>
      <c r="E32" s="15"/>
      <c r="F32" s="17"/>
      <c r="J32" s="33"/>
      <c r="N32" s="3"/>
    </row>
    <row r="33" spans="3:12" ht="19.05" x14ac:dyDescent="0.35">
      <c r="C33" s="7" t="s">
        <v>19</v>
      </c>
      <c r="D33" s="20">
        <v>30</v>
      </c>
      <c r="E33" s="15"/>
      <c r="F33" s="11"/>
    </row>
    <row r="34" spans="3:12" ht="19.05" x14ac:dyDescent="0.35">
      <c r="C34" s="7" t="s">
        <v>20</v>
      </c>
      <c r="D34" s="21">
        <f>F30</f>
        <v>29.25</v>
      </c>
      <c r="E34" s="15"/>
      <c r="F34" s="11"/>
      <c r="J34" s="33"/>
    </row>
    <row r="35" spans="3:12" ht="19.05" x14ac:dyDescent="0.35">
      <c r="C35" s="7" t="s">
        <v>63</v>
      </c>
      <c r="D35" s="21">
        <f>D34-D33</f>
        <v>-0.75</v>
      </c>
      <c r="E35" s="15"/>
      <c r="F35" s="13"/>
      <c r="J35" s="33"/>
    </row>
    <row r="36" spans="3:12" ht="19.05" x14ac:dyDescent="0.35">
      <c r="C36" s="7" t="s">
        <v>64</v>
      </c>
      <c r="D36" s="23">
        <f>D35/D33</f>
        <v>-2.5000000000000001E-2</v>
      </c>
      <c r="E36" s="15"/>
      <c r="F36" s="13"/>
      <c r="J36" s="33"/>
    </row>
    <row r="37" spans="3:12" ht="19.05" x14ac:dyDescent="0.35">
      <c r="C37" s="21" t="s">
        <v>66</v>
      </c>
      <c r="D37" s="74">
        <f>L30</f>
        <v>0</v>
      </c>
      <c r="E37" s="15"/>
      <c r="F37" s="13"/>
      <c r="J37" s="33"/>
    </row>
    <row r="38" spans="3:12" ht="19.7" thickBot="1" x14ac:dyDescent="0.4">
      <c r="C38" s="24" t="s">
        <v>67</v>
      </c>
      <c r="D38" s="22">
        <f>(L30-D33)/D33</f>
        <v>-1</v>
      </c>
      <c r="E38" s="15"/>
      <c r="F38" s="12"/>
      <c r="H38" s="39" t="s">
        <v>35</v>
      </c>
      <c r="I38" s="45"/>
      <c r="J38" s="32"/>
      <c r="K38" s="3"/>
      <c r="L38" s="3"/>
    </row>
    <row r="39" spans="3:12" ht="149.30000000000001" customHeight="1" x14ac:dyDescent="0.25">
      <c r="C39" s="1"/>
      <c r="F39" s="12"/>
      <c r="H39" s="40" t="s">
        <v>43</v>
      </c>
      <c r="I39" s="43"/>
      <c r="J39" s="32"/>
      <c r="K39" s="3"/>
      <c r="L39" s="3"/>
    </row>
    <row r="40" spans="3:12" x14ac:dyDescent="0.25">
      <c r="C40" s="17"/>
      <c r="D40" s="1"/>
      <c r="E40" s="1"/>
      <c r="J40" s="32"/>
    </row>
    <row r="41" spans="3:12" x14ac:dyDescent="0.25">
      <c r="C41" s="14"/>
      <c r="D41" s="8"/>
      <c r="E41" s="8"/>
      <c r="F41" s="12"/>
      <c r="J41" s="32"/>
    </row>
    <row r="42" spans="3:12" x14ac:dyDescent="0.25">
      <c r="C42" s="1"/>
      <c r="D42" s="1"/>
      <c r="E42" s="1"/>
      <c r="F42" s="12"/>
      <c r="J42" s="32"/>
    </row>
    <row r="43" spans="3:12" x14ac:dyDescent="0.25">
      <c r="C43" s="1"/>
      <c r="D43" s="1"/>
      <c r="E43" s="1"/>
      <c r="J43" s="32"/>
    </row>
    <row r="44" spans="3:12" x14ac:dyDescent="0.25">
      <c r="C44" s="1"/>
      <c r="J44" s="32"/>
    </row>
    <row r="45" spans="3:12" x14ac:dyDescent="0.25">
      <c r="C45" s="1"/>
      <c r="J45" s="32"/>
    </row>
  </sheetData>
  <mergeCells count="5">
    <mergeCell ref="I2:M2"/>
    <mergeCell ref="D30:E30"/>
    <mergeCell ref="A6:H6"/>
    <mergeCell ref="A17:H17"/>
    <mergeCell ref="A20:H20"/>
  </mergeCells>
  <conditionalFormatting sqref="D36 D38">
    <cfRule type="cellIs" dxfId="2" priority="3" operator="greaterThan">
      <formula>0.2</formula>
    </cfRule>
    <cfRule type="cellIs" dxfId="1" priority="4" operator="between">
      <formula>0.1</formula>
      <formula>0.2</formula>
    </cfRule>
    <cfRule type="cellIs" dxfId="0" priority="5" operator="lessThan">
      <formula>0.1</formula>
    </cfRule>
  </conditionalFormatting>
  <conditionalFormatting sqref="H21:I24 H16:I16">
    <cfRule type="colorScale" priority="1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3:M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>
      <selection activeCell="A13" sqref="A13"/>
    </sheetView>
  </sheetViews>
  <sheetFormatPr defaultColWidth="9.125" defaultRowHeight="14.3" x14ac:dyDescent="0.25"/>
  <cols>
    <col min="1" max="1" width="26.75" style="15" customWidth="1"/>
    <col min="2" max="2" width="22.75" style="15" customWidth="1"/>
    <col min="3" max="3" width="30.75" style="15" customWidth="1"/>
    <col min="4" max="4" width="28" style="15" customWidth="1"/>
    <col min="5" max="6" width="9.125" style="15" customWidth="1"/>
    <col min="7" max="16384" width="9.125" style="15"/>
  </cols>
  <sheetData>
    <row r="1" spans="1:4" ht="23.3" x14ac:dyDescent="0.35">
      <c r="A1" s="86" t="s">
        <v>80</v>
      </c>
    </row>
    <row r="3" spans="1:4" ht="66.099999999999994" customHeight="1" x14ac:dyDescent="0.25">
      <c r="A3" s="92" t="s">
        <v>81</v>
      </c>
      <c r="B3" s="92"/>
      <c r="C3" s="92"/>
      <c r="D3" s="92"/>
    </row>
    <row r="6" spans="1:4" ht="14.95" x14ac:dyDescent="0.25">
      <c r="A6" s="15" t="s">
        <v>82</v>
      </c>
      <c r="B6" s="15" t="s">
        <v>83</v>
      </c>
    </row>
    <row r="7" spans="1:4" ht="14.95" x14ac:dyDescent="0.25">
      <c r="A7" s="15" t="s">
        <v>84</v>
      </c>
      <c r="B7" s="15" t="s">
        <v>85</v>
      </c>
    </row>
    <row r="9" spans="1:4" ht="14.95" x14ac:dyDescent="0.25">
      <c r="A9" s="15" t="s">
        <v>86</v>
      </c>
      <c r="B9" s="15" t="s">
        <v>87</v>
      </c>
    </row>
    <row r="10" spans="1:4" ht="14.95" x14ac:dyDescent="0.25">
      <c r="A10" s="15" t="s">
        <v>88</v>
      </c>
      <c r="B10" s="81" t="s">
        <v>89</v>
      </c>
      <c r="C10" s="15" t="s">
        <v>90</v>
      </c>
    </row>
    <row r="11" spans="1:4" ht="14.95" x14ac:dyDescent="0.25">
      <c r="B11" s="81"/>
    </row>
    <row r="12" spans="1:4" ht="14.95" x14ac:dyDescent="0.25">
      <c r="B12" s="81"/>
    </row>
  </sheetData>
  <mergeCells count="1">
    <mergeCell ref="A3:D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A15" sqref="A15"/>
    </sheetView>
  </sheetViews>
  <sheetFormatPr defaultRowHeight="14.3" x14ac:dyDescent="0.25"/>
  <cols>
    <col min="1" max="1" width="20" customWidth="1"/>
    <col min="2" max="2" width="118.625" customWidth="1"/>
  </cols>
  <sheetData>
    <row r="1" spans="1:2" s="15" customFormat="1" ht="14.95" customHeight="1" x14ac:dyDescent="0.25">
      <c r="A1" s="94" t="s">
        <v>51</v>
      </c>
      <c r="B1" s="95"/>
    </row>
    <row r="2" spans="1:2" s="15" customFormat="1" ht="14.95" customHeight="1" x14ac:dyDescent="0.25">
      <c r="A2" s="82"/>
      <c r="B2" s="83"/>
    </row>
    <row r="3" spans="1:2" ht="135" customHeight="1" x14ac:dyDescent="0.25">
      <c r="A3" s="93" t="s">
        <v>69</v>
      </c>
      <c r="B3" s="89"/>
    </row>
    <row r="6" spans="1:2" ht="14.95" customHeight="1" x14ac:dyDescent="0.25">
      <c r="A6" s="82" t="s">
        <v>52</v>
      </c>
      <c r="B6" s="15"/>
    </row>
    <row r="7" spans="1:2" s="15" customFormat="1" ht="14.95" customHeight="1" x14ac:dyDescent="0.25">
      <c r="A7" s="82"/>
    </row>
    <row r="8" spans="1:2" ht="14.95" x14ac:dyDescent="0.25">
      <c r="A8" s="15" t="s">
        <v>44</v>
      </c>
      <c r="B8" s="31" t="s">
        <v>65</v>
      </c>
    </row>
    <row r="9" spans="1:2" ht="14.95" x14ac:dyDescent="0.25">
      <c r="A9" s="15" t="s">
        <v>45</v>
      </c>
      <c r="B9" s="31" t="s">
        <v>77</v>
      </c>
    </row>
    <row r="10" spans="1:2" ht="14.95" x14ac:dyDescent="0.25">
      <c r="A10" s="15" t="s">
        <v>46</v>
      </c>
      <c r="B10" s="31" t="s">
        <v>47</v>
      </c>
    </row>
    <row r="11" spans="1:2" ht="14.95" x14ac:dyDescent="0.25">
      <c r="A11" s="15" t="s">
        <v>48</v>
      </c>
      <c r="B11" s="31" t="s">
        <v>70</v>
      </c>
    </row>
    <row r="12" spans="1:2" ht="14.95" x14ac:dyDescent="0.25">
      <c r="A12" s="15" t="s">
        <v>49</v>
      </c>
      <c r="B12" s="31" t="s">
        <v>78</v>
      </c>
    </row>
    <row r="13" spans="1:2" ht="14.95" x14ac:dyDescent="0.25">
      <c r="A13" s="15" t="s">
        <v>50</v>
      </c>
      <c r="B13" s="31" t="s">
        <v>79</v>
      </c>
    </row>
  </sheetData>
  <mergeCells count="2">
    <mergeCell ref="A3:B3"/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URL xmlns="http://schemas.microsoft.com/sharepoint/v3">
      <Url xsi:nil="true"/>
      <Description xsi:nil="true"/>
    </URL>
    <IconOverlay xmlns="http://schemas.microsoft.com/sharepoint/v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117E898D51124C957E76A16FDF6140" ma:contentTypeVersion="3" ma:contentTypeDescription="Create a new document." ma:contentTypeScope="" ma:versionID="25217fd0e3c10c4cf3a0a5c795175c7c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3/fields" xmlns:ns3="http://schemas.microsoft.com/sharepoint/v4" targetNamespace="http://schemas.microsoft.com/office/2006/metadata/properties" ma:root="true" ma:fieldsID="0ec90b6eaacfe98bc4f1a9d4db3d9a2e" ns1:_="" ns2:_="" ns3:_="">
    <xsd:import namespace="http://schemas.microsoft.com/sharepoint/v3"/>
    <xsd:import namespace="http://schemas.microsoft.com/sharepoint/v3/fields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1:URL" minOccurs="0"/>
                <xsd:element ref="ns3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9" nillable="true" ma:displayName="URL" ma:internalName="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8" nillable="true" ma:displayName="Date Modified" ma:description="The date on which this resource was last modified" ma:format="DateTime" ma:internalName="_DCDateModifi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8F2F12-854D-479C-8733-8C9CA64D8A1B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schemas.microsoft.com/sharepoint/v4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sharepoint/v3/field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EEE2A4E-9EF8-4256-BCC1-DB86DD383B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sharepoint/v3/fields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44750C-4A30-4B70-BC94-03E9E71E3C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Environments &amp; VMs</vt:lpstr>
      <vt:lpstr>Template Info &amp; Doc Control</vt:lpstr>
    </vt:vector>
  </TitlesOfParts>
  <Company>PEER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Mini STP</dc:title>
  <dc:creator>Lev Cocarell</dc:creator>
  <cp:lastModifiedBy>Lev Cocarell</cp:lastModifiedBy>
  <dcterms:created xsi:type="dcterms:W3CDTF">2015-12-23T20:25:42Z</dcterms:created>
  <dcterms:modified xsi:type="dcterms:W3CDTF">2026-06-24T18:35:09Z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0x010100E7117E898D51124C957E76A16FDF6140</vt:lpwstr>
  </property>
</Properties>
</file>