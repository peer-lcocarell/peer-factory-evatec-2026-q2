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5"/>
  <workbookPr/>
  <mc:AlternateContent xmlns:mc="http://schemas.openxmlformats.org/markup-compatibility/2006">
    <mc:Choice Requires="x15">
      <x15ac:absPath xmlns:x15ac="http://schemas.microsoft.com/office/spreadsheetml/2010/11/ac" url="C:\Users\LCocarell\Desktop\"/>
    </mc:Choice>
  </mc:AlternateContent>
  <xr:revisionPtr revIDLastSave="0" documentId="8_{2DB71229-1A52-440D-A200-A542D78C25AD}" xr6:coauthVersionLast="47" xr6:coauthVersionMax="47" xr10:uidLastSave="{00000000-0000-0000-0000-000000000000}"/>
  <bookViews>
    <workbookView xWindow="-108" yWindow="-108" windowWidth="23256" windowHeight="12456" firstSheet="1" activeTab="1" xr2:uid="{00000000-000D-0000-FFFF-FFFF00000000}"/>
  </bookViews>
  <sheets>
    <sheet name="Overview" sheetId="1" r:id="rId1"/>
    <sheet name="Requirements" sheetId="6" r:id="rId2"/>
    <sheet name="Test Environments &amp; VMs" sheetId="5" r:id="rId3"/>
    <sheet name="Template Info &amp; Doc Control" sheetId="3" r:id="rId4"/>
  </sheets>
  <definedNames>
    <definedName name="VSTS_7cd0c1e9_4dd5_4bc8_9da7_632c27882122_1" localSheetId="2" hidden="1">#REF!</definedName>
    <definedName name="VSTS_7cd0c1e9_4dd5_4bc8_9da7_632c27882122_1" hidden="1">#REF!</definedName>
    <definedName name="VSTS_7cd0c1e9_4dd5_4bc8_9da7_632c27882122_10010" localSheetId="2" hidden="1">#REF!</definedName>
    <definedName name="VSTS_7cd0c1e9_4dd5_4bc8_9da7_632c27882122_10010" hidden="1">#REF!</definedName>
    <definedName name="VSTS_7cd0c1e9_4dd5_4bc8_9da7_632c27882122_10011" localSheetId="2" hidden="1">#REF!</definedName>
    <definedName name="VSTS_7cd0c1e9_4dd5_4bc8_9da7_632c27882122_10011" hidden="1">#REF!</definedName>
    <definedName name="VSTS_7cd0c1e9_4dd5_4bc8_9da7_632c27882122_10019" localSheetId="2" hidden="1">#REF!</definedName>
    <definedName name="VSTS_7cd0c1e9_4dd5_4bc8_9da7_632c27882122_10019" hidden="1">#REF!</definedName>
    <definedName name="VSTS_7cd0c1e9_4dd5_4bc8_9da7_632c27882122_10020" localSheetId="2" hidden="1">#REF!</definedName>
    <definedName name="VSTS_7cd0c1e9_4dd5_4bc8_9da7_632c27882122_10020" hidden="1">#REF!</definedName>
    <definedName name="VSTS_7cd0c1e9_4dd5_4bc8_9da7_632c27882122_10030" localSheetId="2" hidden="1">#REF!</definedName>
    <definedName name="VSTS_7cd0c1e9_4dd5_4bc8_9da7_632c27882122_10030" hidden="1">#REF!</definedName>
    <definedName name="VSTS_7cd0c1e9_4dd5_4bc8_9da7_632c27882122_10243" localSheetId="2" hidden="1">#REF!</definedName>
    <definedName name="VSTS_7cd0c1e9_4dd5_4bc8_9da7_632c27882122_10243" hidden="1">#REF!</definedName>
    <definedName name="VSTS_7cd0c1e9_4dd5_4bc8_9da7_632c27882122_10249" localSheetId="2" hidden="1">#REF!</definedName>
    <definedName name="VSTS_7cd0c1e9_4dd5_4bc8_9da7_632c27882122_10249" hidden="1">#REF!</definedName>
    <definedName name="VSTS_7cd0c1e9_4dd5_4bc8_9da7_632c27882122_2" localSheetId="2" hidden="1">#REF!</definedName>
    <definedName name="VSTS_7cd0c1e9_4dd5_4bc8_9da7_632c27882122_2" hidden="1">#REF!</definedName>
    <definedName name="VSTS_7cd0c1e9_4dd5_4bc8_9da7_632c27882122_22" localSheetId="2" hidden="1">#REF!</definedName>
    <definedName name="VSTS_7cd0c1e9_4dd5_4bc8_9da7_632c27882122_22" hidden="1">#REF!</definedName>
    <definedName name="VSTS_7cd0c1e9_4dd5_4bc8_9da7_632c27882122_24" localSheetId="2" hidden="1">#REF!</definedName>
    <definedName name="VSTS_7cd0c1e9_4dd5_4bc8_9da7_632c27882122_24" hidden="1">#REF!</definedName>
    <definedName name="VSTS_7cd0c1e9_4dd5_4bc8_9da7_632c27882122_25" localSheetId="2" hidden="1">#REF!</definedName>
    <definedName name="VSTS_7cd0c1e9_4dd5_4bc8_9da7_632c27882122_25" hidden="1">#REF!</definedName>
    <definedName name="VSTS_7cd0c1e9_4dd5_4bc8_9da7_632c27882122_n105" localSheetId="2" hidden="1">#REF!</definedName>
    <definedName name="VSTS_7cd0c1e9_4dd5_4bc8_9da7_632c27882122_n105" hidden="1">#REF!</definedName>
    <definedName name="VSTS_7cd0c1e9_4dd5_4bc8_9da7_632c27882122_n3" localSheetId="2" hidden="1">#REF!</definedName>
    <definedName name="VSTS_7cd0c1e9_4dd5_4bc8_9da7_632c27882122_n3" hidden="1">#REF!</definedName>
    <definedName name="VSTS_7cd0c1e9_4dd5_4bc8_9da7_632c27882122_n7" localSheetId="2" hidden="1">#REF!</definedName>
    <definedName name="VSTS_7cd0c1e9_4dd5_4bc8_9da7_632c27882122_n7"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6" l="1"/>
  <c r="F8" i="1" s="1"/>
  <c r="G19" i="6"/>
  <c r="E8" i="1" s="1"/>
  <c r="G15" i="6"/>
  <c r="E7" i="1" s="1"/>
  <c r="H15" i="6"/>
  <c r="F7" i="1" s="1"/>
  <c r="K27" i="1" l="1"/>
  <c r="J27" i="1"/>
  <c r="L25" i="1"/>
  <c r="L27" i="1" s="1"/>
  <c r="F25" i="1"/>
  <c r="F12" i="1"/>
  <c r="E11" i="1"/>
  <c r="F27" i="1" l="1"/>
  <c r="D34" i="1"/>
  <c r="K12" i="1"/>
  <c r="J11" i="1"/>
  <c r="D31" i="1" l="1"/>
  <c r="D32" i="1" s="1"/>
  <c r="D33" i="1" s="1"/>
  <c r="D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Sylvia Ward</author>
  </authors>
  <commentList>
    <comment ref="H35" authorId="0" shapeId="0" xr:uid="{00000000-0006-0000-0000-000008000000}">
      <text>
        <r>
          <rPr>
            <b/>
            <sz val="9"/>
            <color indexed="81"/>
            <rFont val="Tahoma"/>
            <charset val="1"/>
          </rPr>
          <t>Sylvia Ward:</t>
        </r>
        <r>
          <rPr>
            <sz val="9"/>
            <color indexed="81"/>
            <rFont val="Tahoma"/>
            <charset val="1"/>
          </rPr>
          <t xml:space="preserve">
Please fill in with any additional comments.</t>
        </r>
      </text>
    </comment>
  </commentList>
</comments>
</file>

<file path=xl/sharedStrings.xml><?xml version="1.0" encoding="utf-8"?>
<sst xmlns="http://schemas.openxmlformats.org/spreadsheetml/2006/main" count="208" uniqueCount="149">
  <si>
    <t>3401INT GLP TA/TC PTO 9 - Summit - Release - WW05 GLP - Mini Software Test Plan</t>
  </si>
  <si>
    <t>Wrap-up: Actuals and analysis/comments</t>
  </si>
  <si>
    <t>Rqmt/CR/Bug ID</t>
  </si>
  <si>
    <t>Work Item Type</t>
  </si>
  <si>
    <t>Timekeeping</t>
  </si>
  <si>
    <t>Writing Estimate</t>
  </si>
  <si>
    <t>Testing Estimate</t>
  </si>
  <si>
    <t>Comments</t>
  </si>
  <si>
    <t>Azure Writing
Actuals</t>
  </si>
  <si>
    <t>Azure Testing
Actuals</t>
  </si>
  <si>
    <t>Timekeeping
Actuals</t>
  </si>
  <si>
    <t>Prepare Software Test Plan</t>
  </si>
  <si>
    <t>3401INT GLP TA PTO 9\Sys-Testing\plan</t>
  </si>
  <si>
    <t>Time est. includes draft, review, and edits after suggestions</t>
  </si>
  <si>
    <t>Get from TK</t>
  </si>
  <si>
    <t>New Functionality</t>
  </si>
  <si>
    <t>TA Requirements</t>
  </si>
  <si>
    <t>See 'Requirements' tab for detailed breakdown</t>
  </si>
  <si>
    <t>3401INT GLP &lt;TA-TC&gt; PTO 9\Sys-Testing\&lt;QA Test - Write&gt;</t>
  </si>
  <si>
    <t>TA requirements for GLP are the bulk of writing and testing</t>
  </si>
  <si>
    <t>Get From Azure</t>
  </si>
  <si>
    <t>TC Requirements</t>
  </si>
  <si>
    <t>See 'Requirements tab for detailed breakdown</t>
  </si>
  <si>
    <t>TC requirements for GLP are all focused on SkyRunner suite</t>
  </si>
  <si>
    <t>n/a</t>
  </si>
  <si>
    <t>Ad hoc testing</t>
  </si>
  <si>
    <t>3401INT GLP &lt;TA-TC&gt; PTO 9\Sys-Testing\QA Test</t>
  </si>
  <si>
    <t>This includes estimated time for abnormal testing</t>
  </si>
  <si>
    <t>Total New - Writing</t>
  </si>
  <si>
    <t>3401INT GLP &lt;TA-TC&gt; PTO 9\Sys-Testing\QA Write</t>
  </si>
  <si>
    <t>Writing includes abnormal and non-happy path tests</t>
  </si>
  <si>
    <t>Comment if Azure &amp; TK significantly different</t>
  </si>
  <si>
    <t>Total New - Testing</t>
  </si>
  <si>
    <t xml:space="preserve">Testing includes abnormal and non-happy paths </t>
  </si>
  <si>
    <t>Regression</t>
  </si>
  <si>
    <t>Total Regression</t>
  </si>
  <si>
    <t>3401INT GLP &lt;TA-TC&gt; PTO 9\Sys-Testing\Regression</t>
  </si>
  <si>
    <t>Targeted manual regression on impacted areas and SkyRunner automated tests</t>
  </si>
  <si>
    <t>Get from Azure</t>
  </si>
  <si>
    <t>General / Other</t>
  </si>
  <si>
    <t>Consult time with Dev</t>
  </si>
  <si>
    <t>3401INT GLP &lt;TA-TC&gt; PTO 9\Sys-Testing\Consult</t>
  </si>
  <si>
    <t>Note: I did not create tasks for this item, will just be added to time keeping</t>
  </si>
  <si>
    <t>Environment Setup, installing builds</t>
  </si>
  <si>
    <t>3401INT GLP &lt;TA-TC&gt; PTO 9\Sys-Testing\Setup</t>
  </si>
  <si>
    <t>Bug verification</t>
  </si>
  <si>
    <t>3401INT GLP &lt;TA-TC&gt; PTO 9\Sys-Testing\Verify</t>
  </si>
  <si>
    <t>Test case reviews</t>
  </si>
  <si>
    <t>3401INT GLP &lt;TA-TC&gt; PTO 9\Sys-Testing\Review</t>
  </si>
  <si>
    <t>Release</t>
  </si>
  <si>
    <t>3401INT GLP &lt;TA-TC&gt; PTO 9\Sys-Testing\Release</t>
  </si>
  <si>
    <t>Unplanned changes / contingency</t>
  </si>
  <si>
    <t>3401INT GLP &lt;TA-TC&gt; PTO 9\Sys-Testing\Misc</t>
  </si>
  <si>
    <t>Total General</t>
  </si>
  <si>
    <t>Grand Total (estimate)</t>
  </si>
  <si>
    <t>Grand Total (actual)</t>
  </si>
  <si>
    <t>Budget:</t>
  </si>
  <si>
    <t>Hours:</t>
  </si>
  <si>
    <r>
      <t>Budget</t>
    </r>
    <r>
      <rPr>
        <b/>
        <sz val="12"/>
        <color theme="1"/>
        <rFont val="Calibri"/>
        <family val="2"/>
        <scheme val="minor"/>
      </rPr>
      <t xml:space="preserve"> (check TK or ask PM)</t>
    </r>
  </si>
  <si>
    <t>Estimated Effort</t>
  </si>
  <si>
    <t>Difference (hours)</t>
  </si>
  <si>
    <t>% Difference to Budget</t>
  </si>
  <si>
    <t>Actual Effort (hours)</t>
  </si>
  <si>
    <t>Actual Effort (% Diff to Budget)</t>
  </si>
  <si>
    <t>Assumptions, Areas Not Tested, Other supporting information:</t>
  </si>
  <si>
    <t xml:space="preserve">Include in this section any assumptions, areas you will not be testing (but feel you should be) and any other information that will help explain your stategy, risks, etc. </t>
  </si>
  <si>
    <t>Requirements</t>
  </si>
  <si>
    <t>Area Path</t>
  </si>
  <si>
    <t>Iteration Path</t>
  </si>
  <si>
    <t xml:space="preserve"> ID</t>
  </si>
  <si>
    <t>Requirement</t>
  </si>
  <si>
    <t>Developer Estimate</t>
  </si>
  <si>
    <t>QA Writing Est</t>
  </si>
  <si>
    <t>QA Testing Est</t>
  </si>
  <si>
    <t>Link</t>
  </si>
  <si>
    <t>PTOAEM\Summit\GLP</t>
  </si>
  <si>
    <t>PTOAEM\Horizon\Skyline 4.0\2025\WW06 GLP</t>
  </si>
  <si>
    <t>PickAndPlaceBuffer Refactor (Tool Model)</t>
  </si>
  <si>
    <t>Mostly tested by Hardware during integration, we don't need to go through hardware. Base testing can be performed.</t>
  </si>
  <si>
    <t>https://ops1.peergroup.com/DefaultCollection/PTOAEM/_workitems/edit/252929</t>
  </si>
  <si>
    <t>Tray Scheduler (Tool Model)</t>
  </si>
  <si>
    <t>Need to confirm that no tray dispatching occurs</t>
  </si>
  <si>
    <t>https://ops1.peergroup.com/DefaultCollection/PTOAEM/_workitems/edit/252933</t>
  </si>
  <si>
    <t>Chiller Component (Tool Model)</t>
  </si>
  <si>
    <t>No changes made -Should be tested during regression.</t>
  </si>
  <si>
    <t>https://ops1.peergroup.com/DefaultCollection/PTOAEM/_workitems/edit/252930</t>
  </si>
  <si>
    <t>LTIM Component (Tool Model)</t>
  </si>
  <si>
    <t>https://ops1.peergroup.com/DefaultCollection/PTOAEM/_workitems/edit/252931</t>
  </si>
  <si>
    <t>Unit Scheduler (Tool Model)</t>
  </si>
  <si>
    <t>Extensive changes for this task, may require more time than estimate, majority of work appears to be on developer side</t>
  </si>
  <si>
    <t>https://ops1.peergroup.com/DefaultCollection/PTOAEM/_workitems/edit/252932</t>
  </si>
  <si>
    <t>Simulation (Internal Services)</t>
  </si>
  <si>
    <t>https://ops1.peergroup.com/DefaultCollection/PTOAEM/_workitems/edit/252934</t>
  </si>
  <si>
    <t>SkyRunner Support (Simulation)</t>
  </si>
  <si>
    <t>May overlap with SkyRunner TC testing</t>
  </si>
  <si>
    <t>https://ops1.peergroup.com/DefaultCollection/PTOAEM/_workitems/edit/252935</t>
  </si>
  <si>
    <t>Recipe Service (Internal Services)</t>
  </si>
  <si>
    <t>Should be able to utilize chiller recipe --&gt; via hdmx. Test multiple hdmx recipes with hdmx</t>
  </si>
  <si>
    <t>https://ops1.peergroup.com/DefaultCollection/PTOAEM/_workitems/edit/252936</t>
  </si>
  <si>
    <t>Component Monitoring Service (Internal Services)</t>
  </si>
  <si>
    <t>Confirm not required to test. Will be tested during integration.</t>
  </si>
  <si>
    <t>https://ops1.peergroup.com/DefaultCollection/PTOAEM/_workitems/edit/252937</t>
  </si>
  <si>
    <t>TC Lite Cycling (Internal Services)</t>
  </si>
  <si>
    <t>Changes to TC Lite Cycling could cause issues (issue prone area based on other testing). Confirm changes to existing funcitonality, can compare with earlier builds for reference. This should be bulk of testing.</t>
  </si>
  <si>
    <t>https://ops1.peergroup.com/DefaultCollection/PTOAEM/_workitems/edit/252938</t>
  </si>
  <si>
    <t>RAL Cycling (TC Lite Cycling)</t>
  </si>
  <si>
    <t xml:space="preserve">Important requirement - should be tested at same time as other TC Lite Cycling as well </t>
  </si>
  <si>
    <t>https://ops1.peergroup.com/DefaultCollection/PTOAEM/_workitems/edit/252939</t>
  </si>
  <si>
    <t>GLP Backwards Compatibility (External Interfaces)</t>
  </si>
  <si>
    <t>Testing for this can only be done by dev unit tests or during integration. Testing time should instead be utilized for regression</t>
  </si>
  <si>
    <t>https://ops1.peergroup.com/DefaultCollection/PTOAEM/_workitems/edit/252940</t>
  </si>
  <si>
    <t>Total Est Time:</t>
  </si>
  <si>
    <t>Add these values to main Overview tab</t>
  </si>
  <si>
    <t>PTOIntelTester\Summit\GLP</t>
  </si>
  <si>
    <t>PTOIntelTester\Horizon\Skyline 4.0\2025\WW06 GLP</t>
  </si>
  <si>
    <t>SkyRunner RAL Loading (SkyRunner)</t>
  </si>
  <si>
    <t xml:space="preserve">Confirming functionality in logs after running tests in Kubernetes, could run tests locally as well to confirm  - regression --- &gt; multiprocess step --&gt; binning.... </t>
  </si>
  <si>
    <t>https://ops1.peergroup.com/DefaultCollection/PTOIntelTester/_workitems/edit/259685</t>
  </si>
  <si>
    <t>SkyRunner TestPlan Definition (SkyRunner)</t>
  </si>
  <si>
    <t>Ensure SkyRunner test plan created by developer targets required areas and tests are functional. Brendan is writing so time for QA would mostly be updating test suite / executing tests / logging results / failed.</t>
  </si>
  <si>
    <t>https://ops1.peergroup.com/DefaultCollection/PTOIntelTester/_workitems/edit/259686</t>
  </si>
  <si>
    <t xml:space="preserve">Digital UNIT --&gt; covered --- &gt;  .. ad hoc / tc lite cycling </t>
  </si>
  <si>
    <t xml:space="preserve">Manual trays in ad hoc regression --&gt; </t>
  </si>
  <si>
    <t>Test Environments &amp; VMs</t>
  </si>
  <si>
    <t>Every project release requires testing on a specific environment (i.e., Windows 10 Enterprise LTSC 2019, 64-bit) or on multiple environments (i.e., development environment, regression testing, etc.). It is important to clarify in this section what environment(s) and what VM(s) you will be using / will need set up. If testing on multiple environments, list each test environment and VM separately.</t>
  </si>
  <si>
    <t>Product version:</t>
  </si>
  <si>
    <t xml:space="preserve">3401INT GLP TA/TC PTO 9 </t>
  </si>
  <si>
    <t xml:space="preserve">License type to use: </t>
  </si>
  <si>
    <t>PTO 9</t>
  </si>
  <si>
    <t>Test environment:</t>
  </si>
  <si>
    <t>Linux Container</t>
  </si>
  <si>
    <t>VM available:</t>
  </si>
  <si>
    <t>Yes - but not required.</t>
  </si>
  <si>
    <t>hbi1064ql14-qa1</t>
  </si>
  <si>
    <t>Template Information:</t>
  </si>
  <si>
    <r>
      <t xml:space="preserve">This template is intended for </t>
    </r>
    <r>
      <rPr>
        <b/>
        <sz val="11"/>
        <color theme="1"/>
        <rFont val="Calibri"/>
        <family val="2"/>
        <scheme val="minor"/>
      </rPr>
      <t xml:space="preserve">small/simple projects/product releases </t>
    </r>
    <r>
      <rPr>
        <sz val="11"/>
        <color theme="1"/>
        <rFont val="Calibri"/>
        <family val="2"/>
        <scheme val="minor"/>
      </rPr>
      <t>(e.g., service packs). Use the following guidelines:
-  QA effort is ~80 hours or less. If it is more, then you need permission from your project/product Manager to use the mini-STP.
-  Only 1 QA resource. If 2 QA resources (but other criteria apply), then add a Resource column to the right of the Timekeeping column. If &gt;2 then use full STP.
-  There is no "manage" activity in the template because it is assumed it is small enough that it is not needed. It can be added if needed.
-  Do not use this STP template if testing SEMI standard changes (product) or kicking off test automation initiatives.
-  There is no "task" column because it is assumed that the Test task(s) will be linked to the Requirement/CR/Bug listed in each row.
Basically, if you find that this template requires too much modification to outline your test strategy, then use the full STP.</t>
    </r>
  </si>
  <si>
    <t>Document Control Information:</t>
  </si>
  <si>
    <t>Template Version:</t>
  </si>
  <si>
    <t>1.2</t>
  </si>
  <si>
    <t>Release Date:</t>
  </si>
  <si>
    <t>February 10, 2022</t>
  </si>
  <si>
    <t>Document Owner:</t>
  </si>
  <si>
    <t>Sylvia Ward</t>
  </si>
  <si>
    <t>Approvers:</t>
  </si>
  <si>
    <t>Services Management Team</t>
  </si>
  <si>
    <t>Next Review Date:</t>
  </si>
  <si>
    <t>February 10, 2024</t>
  </si>
  <si>
    <t>Expiration Date:</t>
  </si>
  <si>
    <t>May 10,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</si>
</sst>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31">
    <font>
      <sz val="11"/>
      <color theme="1"/>
      <name val="Calibri"/>
      <family val="2"/>
      <scheme val="minor"/>
    </font>
    <font>
      <sz val="18"/>
      <color theme="3"/>
      <name val="Calibri Light"/>
      <family val="2"/>
      <scheme val="major"/>
    </font>
    <font>
      <b/>
      <sz val="15"/>
      <color theme="3"/>
      <name val="Calibri"/>
      <family val="2"/>
      <scheme val="minor"/>
    </font>
    <font>
      <b/>
      <sz val="11"/>
      <color theme="1"/>
      <name val="Calibri"/>
      <family val="2"/>
      <scheme val="minor"/>
    </font>
    <font>
      <sz val="11"/>
      <name val="Calibri"/>
      <family val="2"/>
      <scheme val="minor"/>
    </font>
    <font>
      <sz val="10"/>
      <color theme="1"/>
      <name val="Calibri"/>
      <family val="2"/>
      <scheme val="minor"/>
    </font>
    <font>
      <b/>
      <sz val="12"/>
      <color theme="1"/>
      <name val="Calibri"/>
      <family val="2"/>
      <scheme val="minor"/>
    </font>
    <font>
      <b/>
      <sz val="12"/>
      <name val="Calibri"/>
      <family val="2"/>
      <scheme val="minor"/>
    </font>
    <font>
      <b/>
      <sz val="10"/>
      <color theme="1"/>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b/>
      <sz val="18"/>
      <color theme="3"/>
      <name val="Calibri Light"/>
      <family val="2"/>
      <scheme val="major"/>
    </font>
    <font>
      <sz val="10"/>
      <name val="Arial"/>
      <family val="2"/>
    </font>
    <font>
      <b/>
      <sz val="12"/>
      <name val="Arial"/>
      <family val="2"/>
    </font>
    <font>
      <i/>
      <sz val="10"/>
      <name val="Arial"/>
      <family val="2"/>
    </font>
    <font>
      <b/>
      <sz val="11"/>
      <color theme="8" tint="-0.249977111117893"/>
      <name val="Calibri"/>
      <family val="2"/>
      <scheme val="minor"/>
    </font>
    <font>
      <b/>
      <u/>
      <sz val="18"/>
      <color theme="3"/>
      <name val="Calibri Light"/>
      <family val="2"/>
      <scheme val="major"/>
    </font>
    <font>
      <sz val="9"/>
      <color indexed="81"/>
      <name val="Tahoma"/>
      <charset val="1"/>
    </font>
    <font>
      <b/>
      <sz val="9"/>
      <color indexed="81"/>
      <name val="Tahoma"/>
      <charset val="1"/>
    </font>
    <font>
      <b/>
      <sz val="15"/>
      <color rgb="FF2B4384"/>
      <name val="Candara"/>
      <family val="2"/>
    </font>
    <font>
      <sz val="11"/>
      <color rgb="FF2B4384"/>
      <name val="Candara"/>
      <family val="2"/>
    </font>
    <font>
      <b/>
      <sz val="18"/>
      <color rgb="FF2B4384"/>
      <name val="Candara"/>
      <family val="2"/>
    </font>
    <font>
      <b/>
      <sz val="18"/>
      <color theme="3"/>
      <name val="Candara"/>
      <family val="2"/>
    </font>
    <font>
      <u/>
      <sz val="11"/>
      <color theme="10"/>
      <name val="Calibri"/>
      <family val="2"/>
      <scheme val="minor"/>
    </font>
    <font>
      <b/>
      <sz val="14"/>
      <name val="Calibri"/>
      <family val="2"/>
      <scheme val="minor"/>
    </font>
    <font>
      <b/>
      <sz val="14"/>
      <color theme="3"/>
      <name val="Calibri"/>
      <family val="2"/>
      <scheme val="minor"/>
    </font>
    <font>
      <u/>
      <sz val="14"/>
      <color theme="10"/>
      <name val="Calibri"/>
      <family val="2"/>
      <scheme val="minor"/>
    </font>
    <font>
      <i/>
      <sz val="14"/>
      <color theme="1"/>
      <name val="Calibri"/>
      <family val="2"/>
      <scheme val="minor"/>
    </font>
    <font>
      <b/>
      <i/>
      <sz val="14"/>
      <color theme="1"/>
      <name val="Calibri"/>
      <family val="2"/>
      <scheme val="minor"/>
    </font>
    <font>
      <sz val="14"/>
      <color rgb="FF000000"/>
      <name val="Calibri"/>
      <charset val="1"/>
    </font>
  </fonts>
  <fills count="5">
    <fill>
      <patternFill patternType="none"/>
    </fill>
    <fill>
      <patternFill patternType="gray125"/>
    </fill>
    <fill>
      <patternFill patternType="solid">
        <fgColor rgb="FFFFFF00"/>
        <bgColor indexed="64"/>
      </patternFill>
    </fill>
    <fill>
      <patternFill patternType="solid">
        <fgColor theme="0" tint="-0.14996795556505021"/>
        <bgColor indexed="64"/>
      </patternFill>
    </fill>
    <fill>
      <patternFill patternType="solid">
        <fgColor theme="0" tint="-0.14999847407452621"/>
        <bgColor indexed="64"/>
      </patternFill>
    </fill>
  </fills>
  <borders count="25">
    <border>
      <left/>
      <right/>
      <top/>
      <bottom/>
      <diagonal/>
    </border>
    <border>
      <left/>
      <right/>
      <top/>
      <bottom style="thick">
        <color theme="4"/>
      </bottom>
      <diagonal/>
    </border>
    <border>
      <left/>
      <right/>
      <top style="thin">
        <color theme="4"/>
      </top>
      <bottom style="double">
        <color theme="4"/>
      </bottom>
      <diagonal/>
    </border>
    <border>
      <left style="medium">
        <color theme="3"/>
      </left>
      <right/>
      <top/>
      <bottom/>
      <diagonal/>
    </border>
    <border>
      <left style="medium">
        <color theme="3"/>
      </left>
      <right style="medium">
        <color theme="3"/>
      </right>
      <top/>
      <bottom/>
      <diagonal/>
    </border>
    <border>
      <left style="medium">
        <color theme="3"/>
      </left>
      <right style="medium">
        <color theme="3"/>
      </right>
      <top/>
      <bottom style="medium">
        <color theme="3"/>
      </bottom>
      <diagonal/>
    </border>
    <border>
      <left style="thin">
        <color indexed="64"/>
      </left>
      <right/>
      <top/>
      <bottom/>
      <diagonal/>
    </border>
    <border>
      <left style="medium">
        <color theme="3"/>
      </left>
      <right style="medium">
        <color theme="3"/>
      </right>
      <top style="medium">
        <color theme="3"/>
      </top>
      <bottom style="medium">
        <color theme="3"/>
      </bottom>
      <diagonal/>
    </border>
    <border>
      <left style="medium">
        <color theme="3"/>
      </left>
      <right style="medium">
        <color theme="3"/>
      </right>
      <top style="medium">
        <color theme="3"/>
      </top>
      <bottom/>
      <diagonal/>
    </border>
    <border>
      <left/>
      <right style="medium">
        <color theme="3"/>
      </right>
      <top/>
      <bottom style="medium">
        <color theme="3"/>
      </bottom>
      <diagonal/>
    </border>
    <border>
      <left/>
      <right/>
      <top/>
      <bottom style="double">
        <color theme="4"/>
      </bottom>
      <diagonal/>
    </border>
    <border>
      <left style="thin">
        <color indexed="64"/>
      </left>
      <right/>
      <top/>
      <bottom style="double">
        <color theme="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double">
        <color theme="4"/>
      </bottom>
      <diagonal/>
    </border>
    <border>
      <left/>
      <right/>
      <top style="double">
        <color theme="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theme="3"/>
      </right>
      <top/>
      <bottom/>
      <diagonal/>
    </border>
  </borders>
  <cellStyleXfs count="21">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12" fillId="0" borderId="0" applyNumberFormat="0" applyFill="0" applyBorder="0" applyAlignment="0" applyProtection="0"/>
    <xf numFmtId="0" fontId="13" fillId="0" borderId="0"/>
    <xf numFmtId="0" fontId="13" fillId="0" borderId="0"/>
    <xf numFmtId="0" fontId="14" fillId="0" borderId="0">
      <alignment horizontal="left"/>
    </xf>
    <xf numFmtId="0" fontId="15" fillId="0" borderId="0">
      <alignment horizontal="left" wrapText="1"/>
    </xf>
    <xf numFmtId="0" fontId="11" fillId="0" borderId="0"/>
    <xf numFmtId="0" fontId="11" fillId="0" borderId="0"/>
    <xf numFmtId="0" fontId="1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3" fillId="0" borderId="0"/>
    <xf numFmtId="0" fontId="13" fillId="0" borderId="0"/>
    <xf numFmtId="0" fontId="24" fillId="0" borderId="0" applyNumberFormat="0" applyFill="0" applyBorder="0" applyAlignment="0" applyProtection="0"/>
  </cellStyleXfs>
  <cellXfs count="95">
    <xf numFmtId="0" fontId="0" fillId="0" borderId="0" xfId="0"/>
    <xf numFmtId="0" fontId="0" fillId="0" borderId="0" xfId="0" applyAlignment="1">
      <alignment wrapText="1"/>
    </xf>
    <xf numFmtId="0" fontId="4" fillId="0" borderId="0" xfId="0" applyFont="1"/>
    <xf numFmtId="0" fontId="5" fillId="0" borderId="0" xfId="0" applyFont="1" applyAlignment="1">
      <alignment wrapText="1"/>
    </xf>
    <xf numFmtId="0" fontId="0" fillId="0" borderId="0" xfId="0" applyAlignment="1">
      <alignment horizontal="left" vertical="top" wrapText="1"/>
    </xf>
    <xf numFmtId="0" fontId="3" fillId="0" borderId="0" xfId="0" applyFont="1" applyAlignment="1">
      <alignment horizontal="left" vertical="top" wrapText="1"/>
    </xf>
    <xf numFmtId="0" fontId="9" fillId="3" borderId="3" xfId="0" applyFont="1" applyFill="1" applyBorder="1"/>
    <xf numFmtId="0" fontId="3" fillId="0" borderId="0" xfId="0" applyFont="1" applyAlignment="1">
      <alignment horizontal="right" wrapText="1"/>
    </xf>
    <xf numFmtId="0" fontId="9" fillId="0" borderId="0" xfId="0" applyFont="1"/>
    <xf numFmtId="0" fontId="10" fillId="0" borderId="0" xfId="0" applyFont="1"/>
    <xf numFmtId="0" fontId="3" fillId="0" borderId="0" xfId="0" applyFont="1" applyAlignment="1">
      <alignment horizontal="left" wrapText="1"/>
    </xf>
    <xf numFmtId="0" fontId="6" fillId="0" borderId="0" xfId="0" applyFont="1"/>
    <xf numFmtId="0" fontId="3" fillId="0" borderId="0" xfId="0" applyFont="1" applyAlignment="1">
      <alignment wrapText="1"/>
    </xf>
    <xf numFmtId="0" fontId="5" fillId="0" borderId="6" xfId="0" applyFont="1" applyBorder="1" applyAlignment="1">
      <alignment wrapText="1"/>
    </xf>
    <xf numFmtId="0" fontId="0" fillId="0" borderId="6" xfId="0" applyBorder="1"/>
    <xf numFmtId="0" fontId="9" fillId="3" borderId="8" xfId="0" applyFont="1" applyFill="1" applyBorder="1"/>
    <xf numFmtId="0" fontId="9" fillId="3" borderId="4" xfId="0" applyFont="1" applyFill="1" applyBorder="1"/>
    <xf numFmtId="10" fontId="9" fillId="3" borderId="9" xfId="0" applyNumberFormat="1" applyFont="1" applyFill="1" applyBorder="1"/>
    <xf numFmtId="10" fontId="9" fillId="3" borderId="4" xfId="0" applyNumberFormat="1" applyFont="1" applyFill="1" applyBorder="1"/>
    <xf numFmtId="0" fontId="9" fillId="3" borderId="5" xfId="0" applyFont="1" applyFill="1" applyBorder="1"/>
    <xf numFmtId="0" fontId="3" fillId="0" borderId="10" xfId="3" applyBorder="1" applyAlignment="1">
      <alignment wrapText="1"/>
    </xf>
    <xf numFmtId="0" fontId="3" fillId="0" borderId="10" xfId="3" applyBorder="1"/>
    <xf numFmtId="0" fontId="17" fillId="0" borderId="0" xfId="1" applyFont="1" applyBorder="1"/>
    <xf numFmtId="0" fontId="16" fillId="0" borderId="0" xfId="0" applyFont="1"/>
    <xf numFmtId="0" fontId="9" fillId="2" borderId="2" xfId="3" applyFont="1" applyFill="1" applyAlignment="1">
      <alignment wrapText="1"/>
    </xf>
    <xf numFmtId="49" fontId="0" fillId="0" borderId="0" xfId="0" applyNumberFormat="1"/>
    <xf numFmtId="0" fontId="8" fillId="0" borderId="0" xfId="0" applyFont="1" applyAlignment="1">
      <alignment horizontal="left" vertical="top" wrapText="1"/>
    </xf>
    <xf numFmtId="0" fontId="16" fillId="0" borderId="12" xfId="0" applyFont="1" applyBorder="1"/>
    <xf numFmtId="0" fontId="3" fillId="0" borderId="15" xfId="3" applyBorder="1"/>
    <xf numFmtId="164" fontId="0" fillId="0" borderId="0" xfId="0" applyNumberFormat="1"/>
    <xf numFmtId="0" fontId="3" fillId="2" borderId="0" xfId="0" applyFont="1" applyFill="1"/>
    <xf numFmtId="0" fontId="0" fillId="0" borderId="0" xfId="0" applyAlignment="1">
      <alignment vertical="top" wrapText="1"/>
    </xf>
    <xf numFmtId="0" fontId="9" fillId="2" borderId="6" xfId="0" applyFont="1" applyFill="1" applyBorder="1"/>
    <xf numFmtId="164" fontId="0" fillId="0" borderId="6" xfId="0" applyNumberFormat="1" applyBorder="1"/>
    <xf numFmtId="0" fontId="0" fillId="0" borderId="6" xfId="0" applyBorder="1" applyAlignment="1">
      <alignment vertical="top" wrapText="1"/>
    </xf>
    <xf numFmtId="0" fontId="3" fillId="0" borderId="6" xfId="0" applyFont="1" applyBorder="1"/>
    <xf numFmtId="0" fontId="0" fillId="0" borderId="18" xfId="0" applyBorder="1"/>
    <xf numFmtId="0" fontId="6" fillId="0" borderId="19" xfId="0" applyFont="1" applyBorder="1"/>
    <xf numFmtId="0" fontId="6" fillId="0" borderId="14" xfId="0" applyFont="1" applyBorder="1"/>
    <xf numFmtId="0" fontId="6" fillId="0" borderId="20" xfId="0" applyFont="1" applyBorder="1"/>
    <xf numFmtId="0" fontId="0" fillId="0" borderId="16" xfId="0" applyBorder="1" applyAlignment="1">
      <alignment horizontal="right" wrapText="1"/>
    </xf>
    <xf numFmtId="0" fontId="0" fillId="0" borderId="0" xfId="0" applyAlignment="1">
      <alignment horizontal="right" wrapText="1"/>
    </xf>
    <xf numFmtId="0" fontId="0" fillId="0" borderId="0" xfId="0" applyAlignment="1">
      <alignment horizontal="right"/>
    </xf>
    <xf numFmtId="0" fontId="6" fillId="0" borderId="17" xfId="0" applyFont="1" applyBorder="1" applyAlignment="1">
      <alignment horizontal="left"/>
    </xf>
    <xf numFmtId="0" fontId="6" fillId="0" borderId="18" xfId="0" applyFont="1" applyBorder="1"/>
    <xf numFmtId="0" fontId="0" fillId="0" borderId="17" xfId="0" applyBorder="1"/>
    <xf numFmtId="0" fontId="6" fillId="0" borderId="18" xfId="0" applyFont="1" applyBorder="1" applyAlignment="1">
      <alignment horizontal="right"/>
    </xf>
    <xf numFmtId="0" fontId="6" fillId="0" borderId="13" xfId="0" applyFont="1" applyBorder="1" applyAlignment="1">
      <alignment horizontal="left"/>
    </xf>
    <xf numFmtId="0" fontId="0" fillId="0" borderId="14" xfId="0" applyBorder="1"/>
    <xf numFmtId="0" fontId="0" fillId="0" borderId="13" xfId="0" applyBorder="1"/>
    <xf numFmtId="0" fontId="5" fillId="0" borderId="14" xfId="0" applyFont="1" applyBorder="1" applyAlignment="1">
      <alignment wrapText="1"/>
    </xf>
    <xf numFmtId="0" fontId="6" fillId="0" borderId="21" xfId="0" applyFont="1" applyBorder="1" applyAlignment="1">
      <alignment horizontal="left"/>
    </xf>
    <xf numFmtId="0" fontId="0" fillId="0" borderId="22" xfId="0" applyBorder="1"/>
    <xf numFmtId="0" fontId="7" fillId="0" borderId="22" xfId="0" applyFont="1" applyBorder="1"/>
    <xf numFmtId="0" fontId="0" fillId="0" borderId="22" xfId="0" applyBorder="1" applyAlignment="1">
      <alignment wrapText="1"/>
    </xf>
    <xf numFmtId="0" fontId="5" fillId="0" borderId="22" xfId="0" applyFont="1" applyBorder="1" applyAlignment="1">
      <alignment wrapText="1"/>
    </xf>
    <xf numFmtId="0" fontId="6" fillId="0" borderId="21" xfId="0" applyFont="1" applyBorder="1" applyAlignment="1">
      <alignment wrapText="1"/>
    </xf>
    <xf numFmtId="0" fontId="6" fillId="0" borderId="22" xfId="0" applyFont="1" applyBorder="1"/>
    <xf numFmtId="0" fontId="0" fillId="0" borderId="21" xfId="0" applyBorder="1"/>
    <xf numFmtId="0" fontId="3" fillId="0" borderId="23" xfId="0" applyFont="1" applyBorder="1" applyAlignment="1">
      <alignment horizontal="right"/>
    </xf>
    <xf numFmtId="0" fontId="3" fillId="0" borderId="22" xfId="0" applyFont="1" applyBorder="1"/>
    <xf numFmtId="0" fontId="3" fillId="0" borderId="11" xfId="3" applyBorder="1"/>
    <xf numFmtId="0" fontId="3" fillId="0" borderId="22" xfId="0" applyFont="1" applyBorder="1" applyAlignment="1">
      <alignment horizontal="right"/>
    </xf>
    <xf numFmtId="1" fontId="9" fillId="3" borderId="24" xfId="0" applyNumberFormat="1" applyFont="1" applyFill="1" applyBorder="1"/>
    <xf numFmtId="0" fontId="0" fillId="4" borderId="6" xfId="0" applyFill="1" applyBorder="1"/>
    <xf numFmtId="0" fontId="0" fillId="4" borderId="0" xfId="0" applyFill="1"/>
    <xf numFmtId="0" fontId="0" fillId="0" borderId="23" xfId="0" applyBorder="1" applyAlignment="1">
      <alignment wrapText="1"/>
    </xf>
    <xf numFmtId="0" fontId="3" fillId="0" borderId="0" xfId="0" applyFont="1" applyAlignment="1">
      <alignment vertical="center"/>
    </xf>
    <xf numFmtId="0" fontId="0" fillId="0" borderId="0" xfId="0" applyAlignment="1">
      <alignment vertical="center"/>
    </xf>
    <xf numFmtId="0" fontId="22" fillId="3" borderId="7" xfId="2" applyFont="1" applyFill="1" applyBorder="1" applyAlignment="1">
      <alignment wrapText="1"/>
    </xf>
    <xf numFmtId="0" fontId="22" fillId="0" borderId="0" xfId="1" applyFont="1" applyBorder="1"/>
    <xf numFmtId="0" fontId="23" fillId="0" borderId="0" xfId="4" applyFont="1"/>
    <xf numFmtId="0" fontId="0" fillId="2" borderId="0" xfId="0" applyFill="1" applyAlignment="1">
      <alignment horizontal="left" vertical="top" wrapText="1"/>
    </xf>
    <xf numFmtId="0" fontId="25" fillId="4" borderId="0" xfId="2" applyFont="1" applyFill="1" applyBorder="1" applyAlignment="1">
      <alignment wrapText="1"/>
    </xf>
    <xf numFmtId="0" fontId="9" fillId="0" borderId="10" xfId="3" applyFont="1" applyBorder="1"/>
    <xf numFmtId="0" fontId="9" fillId="0" borderId="10" xfId="3" applyFont="1" applyBorder="1" applyAlignment="1">
      <alignment wrapText="1"/>
    </xf>
    <xf numFmtId="0" fontId="26" fillId="0" borderId="1" xfId="2" applyFont="1" applyFill="1"/>
    <xf numFmtId="1" fontId="10" fillId="0" borderId="0" xfId="0" applyNumberFormat="1" applyFont="1" applyAlignment="1">
      <alignment horizontal="left"/>
    </xf>
    <xf numFmtId="49" fontId="10" fillId="0" borderId="0" xfId="0" applyNumberFormat="1" applyFont="1"/>
    <xf numFmtId="0" fontId="10" fillId="0" borderId="0" xfId="0" applyFont="1" applyAlignment="1">
      <alignment wrapText="1"/>
    </xf>
    <xf numFmtId="0" fontId="27" fillId="0" borderId="0" xfId="20" applyFont="1"/>
    <xf numFmtId="0" fontId="10" fillId="0" borderId="0" xfId="0" applyFont="1" applyAlignment="1">
      <alignment horizontal="left"/>
    </xf>
    <xf numFmtId="0" fontId="27" fillId="0" borderId="0" xfId="20" applyFont="1" applyFill="1"/>
    <xf numFmtId="0" fontId="29" fillId="0" borderId="0" xfId="0" applyFont="1"/>
    <xf numFmtId="0" fontId="28" fillId="0" borderId="0" xfId="0" applyFont="1" applyAlignment="1">
      <alignment wrapText="1"/>
    </xf>
    <xf numFmtId="0" fontId="30" fillId="0" borderId="0" xfId="0" applyFont="1"/>
    <xf numFmtId="0" fontId="3" fillId="0" borderId="0" xfId="0" applyFont="1" applyAlignment="1">
      <alignment horizontal="center" wrapText="1"/>
    </xf>
    <xf numFmtId="0" fontId="9" fillId="2" borderId="0" xfId="3" applyFont="1" applyFill="1" applyBorder="1" applyAlignment="1">
      <alignment wrapText="1"/>
    </xf>
    <xf numFmtId="0" fontId="20" fillId="4" borderId="0" xfId="2" applyFont="1" applyFill="1" applyBorder="1" applyAlignment="1">
      <alignment wrapText="1"/>
    </xf>
    <xf numFmtId="0" fontId="0" fillId="0" borderId="0" xfId="0" applyAlignment="1">
      <alignment horizontal="left" vertical="top" wrapText="1"/>
    </xf>
    <xf numFmtId="0" fontId="0" fillId="0" borderId="0" xfId="0" applyAlignment="1">
      <alignment wrapText="1"/>
    </xf>
    <xf numFmtId="0" fontId="3" fillId="0" borderId="0" xfId="0" applyFont="1" applyAlignment="1">
      <alignment vertical="center"/>
    </xf>
    <xf numFmtId="0" fontId="0" fillId="0" borderId="0" xfId="0" applyAlignment="1">
      <alignment vertical="center"/>
    </xf>
    <xf numFmtId="0" fontId="21" fillId="4" borderId="0" xfId="0" applyFont="1" applyFill="1" applyAlignment="1"/>
    <xf numFmtId="0" fontId="0" fillId="0" borderId="0" xfId="0" applyAlignment="1"/>
  </cellXfs>
  <cellStyles count="21">
    <cellStyle name="Case Description" xfId="8" xr:uid="{00000000-0005-0000-0000-000000000000}"/>
    <cellStyle name="Case Name" xfId="7" xr:uid="{00000000-0005-0000-0000-000001000000}"/>
    <cellStyle name="Heading 1" xfId="2" builtinId="16"/>
    <cellStyle name="Hyperlink" xfId="20" builtinId="8"/>
    <cellStyle name="Normal" xfId="0" builtinId="0"/>
    <cellStyle name="Normal 10" xfId="5" xr:uid="{00000000-0005-0000-0000-000004000000}"/>
    <cellStyle name="Normal 11" xfId="18" xr:uid="{00000000-0005-0000-0000-000005000000}"/>
    <cellStyle name="Normal 11 2" xfId="19" xr:uid="{00000000-0005-0000-0000-000006000000}"/>
    <cellStyle name="Normal 2" xfId="6" xr:uid="{00000000-0005-0000-0000-000007000000}"/>
    <cellStyle name="Normal 2 2" xfId="11" xr:uid="{00000000-0005-0000-0000-000008000000}"/>
    <cellStyle name="Normal 3" xfId="9" xr:uid="{00000000-0005-0000-0000-000009000000}"/>
    <cellStyle name="Normal 3 2" xfId="12" xr:uid="{00000000-0005-0000-0000-00000A000000}"/>
    <cellStyle name="Normal 4" xfId="10" xr:uid="{00000000-0005-0000-0000-00000B000000}"/>
    <cellStyle name="Normal 5" xfId="13" xr:uid="{00000000-0005-0000-0000-00000C000000}"/>
    <cellStyle name="Normal 6" xfId="15" xr:uid="{00000000-0005-0000-0000-00000D000000}"/>
    <cellStyle name="Normal 7" xfId="14" xr:uid="{00000000-0005-0000-0000-00000E000000}"/>
    <cellStyle name="Normal 8" xfId="16" xr:uid="{00000000-0005-0000-0000-00000F000000}"/>
    <cellStyle name="Normal 9" xfId="17" xr:uid="{00000000-0005-0000-0000-000010000000}"/>
    <cellStyle name="Title" xfId="1" builtinId="15"/>
    <cellStyle name="Title 2" xfId="4" xr:uid="{00000000-0005-0000-0000-000012000000}"/>
    <cellStyle name="Total" xfId="3" builtinId="25"/>
  </cellStyles>
  <dxfs count="3">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colors>
    <mruColors>
      <color rgb="FF2B4384"/>
      <color rgb="FFFF9999"/>
      <color rgb="FF3C5FF4"/>
      <color rgb="FFFF66CC"/>
      <color rgb="FFD55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workbookViewId="0">
      <selection activeCell="D14" sqref="D14"/>
    </sheetView>
  </sheetViews>
  <sheetFormatPr defaultRowHeight="14.45"/>
  <cols>
    <col min="1" max="1" width="10.42578125" customWidth="1"/>
    <col min="2" max="2" width="18" customWidth="1"/>
    <col min="3" max="3" width="44.28515625" customWidth="1"/>
    <col min="4" max="4" width="55.28515625" customWidth="1"/>
    <col min="5" max="5" width="13" customWidth="1"/>
    <col min="6" max="6" width="12.28515625" customWidth="1"/>
    <col min="7" max="7" width="0.7109375" hidden="1" customWidth="1"/>
    <col min="8" max="8" width="70.85546875" customWidth="1"/>
    <col min="9" max="9" width="23.5703125" style="14" customWidth="1"/>
    <col min="10" max="11" width="14.7109375" customWidth="1"/>
    <col min="12" max="12" width="14" customWidth="1"/>
    <col min="13" max="13" width="48.7109375" customWidth="1"/>
  </cols>
  <sheetData>
    <row r="1" spans="1:13" ht="24" customHeight="1">
      <c r="A1" s="70" t="s">
        <v>0</v>
      </c>
      <c r="H1" s="27"/>
      <c r="I1" s="23"/>
      <c r="J1" s="1"/>
    </row>
    <row r="2" spans="1:13" ht="23.25" customHeight="1">
      <c r="C2" s="22"/>
      <c r="H2" s="27"/>
      <c r="I2" s="86" t="s">
        <v>1</v>
      </c>
      <c r="J2" s="86"/>
      <c r="K2" s="86"/>
      <c r="L2" s="86"/>
      <c r="M2" s="86"/>
    </row>
    <row r="3" spans="1:13" ht="29.45" thickBot="1">
      <c r="A3" s="20" t="s">
        <v>2</v>
      </c>
      <c r="B3" s="20" t="s">
        <v>3</v>
      </c>
      <c r="C3" s="21"/>
      <c r="D3" s="20" t="s">
        <v>4</v>
      </c>
      <c r="E3" s="20" t="s">
        <v>5</v>
      </c>
      <c r="F3" s="20" t="s">
        <v>6</v>
      </c>
      <c r="H3" s="28" t="s">
        <v>7</v>
      </c>
      <c r="I3" s="61"/>
      <c r="J3" s="20" t="s">
        <v>8</v>
      </c>
      <c r="K3" s="20" t="s">
        <v>9</v>
      </c>
      <c r="L3" s="20" t="s">
        <v>10</v>
      </c>
      <c r="M3" s="20" t="s">
        <v>7</v>
      </c>
    </row>
    <row r="4" spans="1:13" ht="16.149999999999999" thickTop="1">
      <c r="C4" s="4" t="s">
        <v>11</v>
      </c>
      <c r="D4" t="s">
        <v>12</v>
      </c>
      <c r="E4">
        <v>3</v>
      </c>
      <c r="F4" s="11"/>
      <c r="H4" t="s">
        <v>13</v>
      </c>
      <c r="J4" s="40"/>
      <c r="K4" s="41"/>
      <c r="L4" t="s">
        <v>14</v>
      </c>
    </row>
    <row r="5" spans="1:13">
      <c r="C5" s="4"/>
      <c r="F5" s="2"/>
      <c r="J5" s="3"/>
    </row>
    <row r="6" spans="1:13" ht="15.6">
      <c r="A6" s="88" t="s">
        <v>15</v>
      </c>
      <c r="B6" s="93"/>
      <c r="C6" s="93"/>
      <c r="D6" s="93"/>
      <c r="E6" s="93"/>
      <c r="F6" s="93"/>
      <c r="G6" s="93"/>
      <c r="H6" s="93"/>
      <c r="I6" s="64"/>
      <c r="J6" s="65"/>
      <c r="K6" s="65"/>
      <c r="L6" s="65"/>
      <c r="M6" s="65"/>
    </row>
    <row r="7" spans="1:13" ht="15.75" customHeight="1">
      <c r="B7" t="s">
        <v>16</v>
      </c>
      <c r="C7" s="72" t="s">
        <v>17</v>
      </c>
      <c r="D7" t="s">
        <v>18</v>
      </c>
      <c r="E7">
        <f>Requirements!$G$15</f>
        <v>10</v>
      </c>
      <c r="F7">
        <f>Requirements!$H$15</f>
        <v>27</v>
      </c>
      <c r="H7" s="4" t="s">
        <v>19</v>
      </c>
      <c r="J7" s="41" t="s">
        <v>20</v>
      </c>
      <c r="K7" s="41" t="s">
        <v>20</v>
      </c>
    </row>
    <row r="8" spans="1:13" ht="15.75" customHeight="1">
      <c r="B8" t="s">
        <v>21</v>
      </c>
      <c r="C8" s="72" t="s">
        <v>22</v>
      </c>
      <c r="D8" t="s">
        <v>18</v>
      </c>
      <c r="E8">
        <f>Requirements!$G$19</f>
        <v>2</v>
      </c>
      <c r="F8">
        <f>Requirements!$H$19</f>
        <v>10</v>
      </c>
      <c r="H8" t="s">
        <v>23</v>
      </c>
      <c r="J8" s="41" t="s">
        <v>20</v>
      </c>
      <c r="K8" s="41" t="s">
        <v>20</v>
      </c>
    </row>
    <row r="9" spans="1:13" ht="15.75" customHeight="1">
      <c r="B9" t="s">
        <v>24</v>
      </c>
      <c r="C9" s="4" t="s">
        <v>25</v>
      </c>
      <c r="D9" t="s">
        <v>26</v>
      </c>
      <c r="F9">
        <v>7</v>
      </c>
      <c r="H9" t="s">
        <v>27</v>
      </c>
      <c r="J9" s="41" t="s">
        <v>20</v>
      </c>
      <c r="K9" s="41" t="s">
        <v>20</v>
      </c>
    </row>
    <row r="10" spans="1:13">
      <c r="C10" s="4"/>
      <c r="J10" s="4"/>
    </row>
    <row r="11" spans="1:13" ht="15.6">
      <c r="C11" s="43" t="s">
        <v>28</v>
      </c>
      <c r="D11" t="s">
        <v>29</v>
      </c>
      <c r="E11" s="44">
        <f>SUM(E7:E10)</f>
        <v>12</v>
      </c>
      <c r="F11" s="44"/>
      <c r="G11" s="36"/>
      <c r="H11" s="36" t="s">
        <v>30</v>
      </c>
      <c r="I11" s="45"/>
      <c r="J11" s="46">
        <f>SUM(J7:J10)</f>
        <v>0</v>
      </c>
      <c r="K11" s="36"/>
      <c r="L11" s="37" t="s">
        <v>14</v>
      </c>
      <c r="M11" t="s">
        <v>31</v>
      </c>
    </row>
    <row r="12" spans="1:13" ht="15.6">
      <c r="C12" s="47" t="s">
        <v>32</v>
      </c>
      <c r="D12" t="s">
        <v>26</v>
      </c>
      <c r="E12" s="48"/>
      <c r="F12" s="38">
        <f>SUM(F7:F10)</f>
        <v>44</v>
      </c>
      <c r="G12" s="48"/>
      <c r="H12" s="48" t="s">
        <v>33</v>
      </c>
      <c r="I12" s="49"/>
      <c r="J12" s="50"/>
      <c r="K12" s="38">
        <f>SUM(K7:K10)</f>
        <v>0</v>
      </c>
      <c r="L12" s="39" t="s">
        <v>14</v>
      </c>
      <c r="M12" t="s">
        <v>31</v>
      </c>
    </row>
    <row r="13" spans="1:13">
      <c r="J13" s="3"/>
    </row>
    <row r="14" spans="1:13">
      <c r="C14" s="5"/>
      <c r="F14" s="5"/>
      <c r="H14" s="29"/>
      <c r="I14" s="33"/>
      <c r="J14" s="26"/>
    </row>
    <row r="15" spans="1:13" ht="15.6">
      <c r="A15" s="88" t="s">
        <v>34</v>
      </c>
      <c r="B15" s="93"/>
      <c r="C15" s="93"/>
      <c r="D15" s="93"/>
      <c r="E15" s="93"/>
      <c r="F15" s="93"/>
      <c r="G15" s="93"/>
      <c r="H15" s="93"/>
      <c r="I15" s="64"/>
      <c r="J15" s="65"/>
      <c r="K15" s="65"/>
      <c r="L15" s="65"/>
      <c r="M15" s="65"/>
    </row>
    <row r="16" spans="1:13" ht="15.6">
      <c r="C16" s="51" t="s">
        <v>35</v>
      </c>
      <c r="D16" t="s">
        <v>36</v>
      </c>
      <c r="E16" s="60">
        <v>0</v>
      </c>
      <c r="F16" s="53">
        <v>5</v>
      </c>
      <c r="G16" s="52"/>
      <c r="H16" s="66" t="s">
        <v>37</v>
      </c>
      <c r="I16" s="54"/>
      <c r="J16" s="62" t="s">
        <v>38</v>
      </c>
      <c r="K16" s="62" t="s">
        <v>38</v>
      </c>
      <c r="L16" s="59" t="s">
        <v>14</v>
      </c>
    </row>
    <row r="17" spans="1:14">
      <c r="C17" s="4"/>
      <c r="F17" s="2"/>
      <c r="J17" s="3"/>
    </row>
    <row r="18" spans="1:14" ht="15.6">
      <c r="A18" s="88" t="s">
        <v>39</v>
      </c>
      <c r="B18" s="93"/>
      <c r="C18" s="93"/>
      <c r="D18" s="93"/>
      <c r="E18" s="93"/>
      <c r="F18" s="93"/>
      <c r="G18" s="93"/>
      <c r="H18" s="93"/>
      <c r="I18" s="64"/>
      <c r="J18" s="65"/>
      <c r="K18" s="65"/>
      <c r="L18" s="65"/>
      <c r="M18" s="65"/>
    </row>
    <row r="19" spans="1:14">
      <c r="B19" t="s">
        <v>24</v>
      </c>
      <c r="C19" s="1" t="s">
        <v>40</v>
      </c>
      <c r="D19" t="s">
        <v>41</v>
      </c>
      <c r="F19" s="2">
        <v>0.5</v>
      </c>
      <c r="H19" t="s">
        <v>42</v>
      </c>
      <c r="J19" s="3"/>
      <c r="K19" s="2"/>
      <c r="L19" s="42" t="s">
        <v>14</v>
      </c>
    </row>
    <row r="20" spans="1:14">
      <c r="B20" t="s">
        <v>24</v>
      </c>
      <c r="C20" s="1" t="s">
        <v>43</v>
      </c>
      <c r="D20" t="s">
        <v>44</v>
      </c>
      <c r="F20" s="2">
        <v>2</v>
      </c>
      <c r="H20" t="s">
        <v>42</v>
      </c>
      <c r="J20" s="3"/>
      <c r="K20" s="2"/>
      <c r="L20" s="42" t="s">
        <v>14</v>
      </c>
    </row>
    <row r="21" spans="1:14">
      <c r="B21" t="s">
        <v>24</v>
      </c>
      <c r="C21" s="1" t="s">
        <v>45</v>
      </c>
      <c r="D21" t="s">
        <v>46</v>
      </c>
      <c r="F21" s="2">
        <v>6</v>
      </c>
      <c r="H21" t="s">
        <v>42</v>
      </c>
      <c r="J21" s="3"/>
      <c r="K21" s="2"/>
      <c r="L21" s="42" t="s">
        <v>14</v>
      </c>
    </row>
    <row r="22" spans="1:14">
      <c r="B22" t="s">
        <v>24</v>
      </c>
      <c r="C22" s="1" t="s">
        <v>47</v>
      </c>
      <c r="D22" t="s">
        <v>48</v>
      </c>
      <c r="F22" s="2">
        <v>1</v>
      </c>
      <c r="H22" t="s">
        <v>42</v>
      </c>
      <c r="J22" s="3"/>
      <c r="K22" s="2"/>
      <c r="L22" s="42" t="s">
        <v>14</v>
      </c>
    </row>
    <row r="23" spans="1:14" ht="15.75" customHeight="1">
      <c r="B23" t="s">
        <v>24</v>
      </c>
      <c r="C23" s="1" t="s">
        <v>49</v>
      </c>
      <c r="D23" t="s">
        <v>50</v>
      </c>
      <c r="F23" s="2">
        <v>4</v>
      </c>
      <c r="H23" t="s">
        <v>42</v>
      </c>
      <c r="J23" s="3"/>
      <c r="K23" s="2"/>
      <c r="L23" s="42" t="s">
        <v>14</v>
      </c>
    </row>
    <row r="24" spans="1:14">
      <c r="B24" t="s">
        <v>24</v>
      </c>
      <c r="C24" s="1" t="s">
        <v>51</v>
      </c>
      <c r="D24" t="s">
        <v>52</v>
      </c>
      <c r="F24" s="2">
        <v>0.5</v>
      </c>
      <c r="H24" t="s">
        <v>42</v>
      </c>
      <c r="J24" s="3"/>
      <c r="K24" s="2"/>
      <c r="L24" s="42" t="s">
        <v>14</v>
      </c>
    </row>
    <row r="25" spans="1:14" ht="15.6">
      <c r="C25" s="56" t="s">
        <v>53</v>
      </c>
      <c r="D25" s="52"/>
      <c r="E25" s="52"/>
      <c r="F25" s="57">
        <f>SUM(F19:F24)</f>
        <v>14</v>
      </c>
      <c r="G25" s="52"/>
      <c r="H25" s="52"/>
      <c r="I25" s="58"/>
      <c r="J25" s="55"/>
      <c r="K25" s="52"/>
      <c r="L25" s="59">
        <f>SUM(L19:L24)</f>
        <v>0</v>
      </c>
    </row>
    <row r="26" spans="1:14">
      <c r="C26" s="1"/>
      <c r="H26" s="3"/>
      <c r="I26" s="13"/>
      <c r="J26" s="3"/>
    </row>
    <row r="27" spans="1:14" ht="18.600000000000001" thickBot="1">
      <c r="D27" s="87" t="s">
        <v>54</v>
      </c>
      <c r="E27" s="94"/>
      <c r="F27" s="24">
        <f>SUM(F4:F5)+F12+E11+SUM(E15:F17)+F25</f>
        <v>75</v>
      </c>
      <c r="I27" s="32" t="s">
        <v>55</v>
      </c>
      <c r="J27" s="24">
        <f>SUM(J6:J10)+SUM(J15:J17)</f>
        <v>0</v>
      </c>
      <c r="K27" s="24">
        <f>SUM(K6:K10)+SUM(K15:K17)</f>
        <v>0</v>
      </c>
      <c r="L27" s="24">
        <f>SUM(L11:L12)+SUM(L15:L17)+SUM(L25)+SUM(L4:L5)</f>
        <v>0</v>
      </c>
    </row>
    <row r="28" spans="1:14" ht="15.6" thickTop="1" thickBot="1">
      <c r="C28" s="1"/>
      <c r="J28" s="3"/>
    </row>
    <row r="29" spans="1:14" ht="24" thickBot="1">
      <c r="C29" s="69" t="s">
        <v>56</v>
      </c>
      <c r="D29" s="69" t="s">
        <v>57</v>
      </c>
      <c r="F29" s="12"/>
      <c r="J29" s="3"/>
      <c r="N29" s="3"/>
    </row>
    <row r="30" spans="1:14" ht="18">
      <c r="C30" s="6" t="s">
        <v>58</v>
      </c>
      <c r="D30" s="15">
        <v>60</v>
      </c>
      <c r="F30" s="8"/>
    </row>
    <row r="31" spans="1:14" ht="18">
      <c r="C31" s="6" t="s">
        <v>59</v>
      </c>
      <c r="D31" s="16">
        <f>F27</f>
        <v>75</v>
      </c>
      <c r="F31" s="8"/>
      <c r="J31" s="3"/>
    </row>
    <row r="32" spans="1:14" ht="18">
      <c r="C32" s="6" t="s">
        <v>60</v>
      </c>
      <c r="D32" s="16">
        <f>D31-D30</f>
        <v>15</v>
      </c>
      <c r="F32" s="9"/>
      <c r="J32" s="3"/>
    </row>
    <row r="33" spans="3:12" ht="18">
      <c r="C33" s="6" t="s">
        <v>61</v>
      </c>
      <c r="D33" s="18">
        <f>D32/D30</f>
        <v>0.25</v>
      </c>
      <c r="F33" s="9"/>
      <c r="J33" s="3"/>
    </row>
    <row r="34" spans="3:12" ht="18">
      <c r="C34" s="16" t="s">
        <v>62</v>
      </c>
      <c r="D34" s="63">
        <f>L27</f>
        <v>0</v>
      </c>
      <c r="F34" s="9"/>
      <c r="J34" s="3"/>
    </row>
    <row r="35" spans="3:12" ht="18.600000000000001" thickBot="1">
      <c r="C35" s="19" t="s">
        <v>63</v>
      </c>
      <c r="D35" s="17">
        <f>(L27-D30)/D30</f>
        <v>-1</v>
      </c>
      <c r="H35" s="30" t="s">
        <v>64</v>
      </c>
      <c r="I35" s="35"/>
      <c r="J35" s="1"/>
      <c r="K35" s="3"/>
      <c r="L35" s="3"/>
    </row>
    <row r="36" spans="3:12" ht="149.25" customHeight="1">
      <c r="C36" s="1"/>
      <c r="H36" s="31" t="s">
        <v>65</v>
      </c>
      <c r="I36" s="34"/>
      <c r="J36" s="1"/>
      <c r="K36" s="3"/>
      <c r="L36" s="3"/>
    </row>
    <row r="37" spans="3:12">
      <c r="C37" s="12"/>
      <c r="D37" s="1"/>
      <c r="E37" s="1"/>
      <c r="J37" s="1"/>
    </row>
    <row r="38" spans="3:12">
      <c r="C38" s="10"/>
      <c r="D38" s="7"/>
      <c r="E38" s="7"/>
      <c r="J38" s="1"/>
    </row>
    <row r="39" spans="3:12">
      <c r="C39" s="1"/>
      <c r="D39" s="1"/>
      <c r="E39" s="1"/>
      <c r="J39" s="1"/>
    </row>
    <row r="40" spans="3:12">
      <c r="C40" s="1"/>
      <c r="D40" s="1"/>
      <c r="E40" s="1"/>
      <c r="J40" s="1"/>
    </row>
    <row r="41" spans="3:12">
      <c r="C41" s="1"/>
      <c r="J41" s="1"/>
    </row>
    <row r="42" spans="3:12">
      <c r="C42" s="1"/>
      <c r="J42" s="1"/>
    </row>
  </sheetData>
  <mergeCells count="5">
    <mergeCell ref="I2:M2"/>
    <mergeCell ref="D27:E27"/>
    <mergeCell ref="A6:H6"/>
    <mergeCell ref="A15:H15"/>
    <mergeCell ref="A18:H18"/>
  </mergeCells>
  <conditionalFormatting sqref="K3:M3">
    <cfRule type="colorScale" priority="35">
      <colorScale>
        <cfvo type="min"/>
        <cfvo type="percentile" val="50"/>
        <cfvo type="max"/>
        <color rgb="FFF8696B"/>
        <color rgb="FFFFEB84"/>
        <color rgb="FF63BE7B"/>
      </colorScale>
    </cfRule>
  </conditionalFormatting>
  <conditionalFormatting sqref="H14:I14 H19:I22">
    <cfRule type="colorScale" priority="14">
      <colorScale>
        <cfvo type="num" val="1"/>
        <cfvo type="num" val="3"/>
        <cfvo type="num" val="5"/>
        <color rgb="FFF8696B"/>
        <color rgb="FFFFEB84"/>
        <color rgb="FF63BE7B"/>
      </colorScale>
    </cfRule>
  </conditionalFormatting>
  <conditionalFormatting sqref="D33 D35">
    <cfRule type="cellIs" dxfId="2" priority="5" operator="greaterThan">
      <formula>0.2</formula>
    </cfRule>
    <cfRule type="cellIs" dxfId="1" priority="6" operator="between">
      <formula>0.1</formula>
      <formula>0.2</formula>
    </cfRule>
    <cfRule type="cellIs" dxfId="0" priority="7" operator="lessThan">
      <formula>0.1</formula>
    </cfRule>
  </conditionalFormatting>
  <conditionalFormatting sqref="H23">
    <cfRule type="colorScale" priority="2">
      <colorScale>
        <cfvo type="num" val="1"/>
        <cfvo type="num" val="3"/>
        <cfvo type="num" val="5"/>
        <color rgb="FFF8696B"/>
        <color rgb="FFFFEB84"/>
        <color rgb="FF63BE7B"/>
      </colorScale>
    </cfRule>
  </conditionalFormatting>
  <conditionalFormatting sqref="H24">
    <cfRule type="colorScale" priority="1">
      <colorScale>
        <cfvo type="num" val="1"/>
        <cfvo type="num" val="3"/>
        <cfvo type="num" val="5"/>
        <color rgb="FFF8696B"/>
        <color rgb="FFFFEB84"/>
        <color rgb="FF63BE7B"/>
      </colorScale>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9E3D-5D9F-43DE-8EE4-61316FF317D2}">
  <dimension ref="A1:J47"/>
  <sheetViews>
    <sheetView tabSelected="1" zoomScale="70" zoomScaleNormal="70" workbookViewId="0">
      <selection activeCell="G12" sqref="G12"/>
    </sheetView>
  </sheetViews>
  <sheetFormatPr defaultColWidth="8.85546875" defaultRowHeight="18.75"/>
  <cols>
    <col min="1" max="1" width="30.140625" style="9" customWidth="1"/>
    <col min="2" max="2" width="51.28515625" style="9" customWidth="1"/>
    <col min="3" max="3" width="10.7109375" style="9" customWidth="1"/>
    <col min="4" max="4" width="50.7109375" style="9" customWidth="1"/>
    <col min="5" max="5" width="19.28515625" style="9" customWidth="1"/>
    <col min="6" max="6" width="15.7109375" style="9" customWidth="1"/>
    <col min="7" max="7" width="14.7109375" style="9" customWidth="1"/>
    <col min="8" max="8" width="18.140625" style="9" customWidth="1"/>
    <col min="9" max="9" width="59.5703125" style="9" customWidth="1"/>
    <col min="10" max="10" width="79.42578125" style="9" customWidth="1"/>
    <col min="11" max="16384" width="8.85546875" style="9"/>
  </cols>
  <sheetData>
    <row r="1" spans="1:10">
      <c r="A1" s="73" t="s">
        <v>66</v>
      </c>
      <c r="B1" s="73"/>
      <c r="C1" s="73"/>
      <c r="D1" s="73"/>
      <c r="E1" s="73"/>
      <c r="F1" s="73"/>
      <c r="G1" s="73"/>
      <c r="H1" s="73"/>
      <c r="I1" s="73"/>
      <c r="J1" s="73"/>
    </row>
    <row r="2" spans="1:10" ht="37.5">
      <c r="A2" s="74" t="s">
        <v>67</v>
      </c>
      <c r="B2" s="74" t="s">
        <v>68</v>
      </c>
      <c r="C2" s="74" t="s">
        <v>69</v>
      </c>
      <c r="D2" s="74" t="s">
        <v>70</v>
      </c>
      <c r="E2" s="74" t="s">
        <v>71</v>
      </c>
      <c r="F2" s="74"/>
      <c r="G2" s="75" t="s">
        <v>72</v>
      </c>
      <c r="H2" s="75" t="s">
        <v>73</v>
      </c>
      <c r="I2" s="74" t="s">
        <v>7</v>
      </c>
      <c r="J2" s="76" t="s">
        <v>74</v>
      </c>
    </row>
    <row r="3" spans="1:10" ht="57">
      <c r="A3" s="9" t="s">
        <v>75</v>
      </c>
      <c r="B3" s="9" t="s">
        <v>76</v>
      </c>
      <c r="C3" s="77">
        <v>252929</v>
      </c>
      <c r="D3" s="78" t="s">
        <v>77</v>
      </c>
      <c r="E3" s="9">
        <v>24</v>
      </c>
      <c r="G3" s="9">
        <v>0.5</v>
      </c>
      <c r="H3" s="9">
        <v>2.5</v>
      </c>
      <c r="I3" s="79" t="s">
        <v>78</v>
      </c>
      <c r="J3" s="80" t="s">
        <v>79</v>
      </c>
    </row>
    <row r="4" spans="1:10">
      <c r="A4" s="9" t="s">
        <v>75</v>
      </c>
      <c r="B4" s="9" t="s">
        <v>76</v>
      </c>
      <c r="C4" s="77">
        <v>252933</v>
      </c>
      <c r="D4" s="78" t="s">
        <v>80</v>
      </c>
      <c r="E4" s="9">
        <v>8</v>
      </c>
      <c r="G4" s="9">
        <v>1</v>
      </c>
      <c r="H4" s="9">
        <v>2</v>
      </c>
      <c r="I4" s="79" t="s">
        <v>81</v>
      </c>
      <c r="J4" s="80" t="s">
        <v>82</v>
      </c>
    </row>
    <row r="5" spans="1:10" ht="37.5">
      <c r="A5" s="9" t="s">
        <v>75</v>
      </c>
      <c r="B5" s="9" t="s">
        <v>76</v>
      </c>
      <c r="C5" s="77">
        <v>252930</v>
      </c>
      <c r="D5" s="78" t="s">
        <v>83</v>
      </c>
      <c r="E5" s="9">
        <v>4</v>
      </c>
      <c r="G5" s="9">
        <v>0.5</v>
      </c>
      <c r="H5" s="9">
        <v>0</v>
      </c>
      <c r="I5" s="79" t="s">
        <v>84</v>
      </c>
      <c r="J5" s="80" t="s">
        <v>85</v>
      </c>
    </row>
    <row r="6" spans="1:10">
      <c r="A6" s="9" t="s">
        <v>75</v>
      </c>
      <c r="B6" s="9" t="s">
        <v>76</v>
      </c>
      <c r="C6" s="77">
        <v>252931</v>
      </c>
      <c r="D6" s="78" t="s">
        <v>86</v>
      </c>
      <c r="E6" s="9">
        <v>4</v>
      </c>
      <c r="G6" s="9">
        <v>0.5</v>
      </c>
      <c r="H6" s="9">
        <v>0</v>
      </c>
      <c r="I6" s="85" t="s">
        <v>84</v>
      </c>
      <c r="J6" s="80" t="s">
        <v>87</v>
      </c>
    </row>
    <row r="7" spans="1:10" ht="57">
      <c r="A7" s="9" t="s">
        <v>75</v>
      </c>
      <c r="B7" s="9" t="s">
        <v>76</v>
      </c>
      <c r="C7" s="81">
        <v>252932</v>
      </c>
      <c r="D7" s="9" t="s">
        <v>88</v>
      </c>
      <c r="E7" s="9">
        <v>32</v>
      </c>
      <c r="F7" s="8"/>
      <c r="G7" s="9">
        <v>2</v>
      </c>
      <c r="H7" s="9">
        <v>3</v>
      </c>
      <c r="I7" s="79" t="s">
        <v>89</v>
      </c>
      <c r="J7" s="9" t="s">
        <v>90</v>
      </c>
    </row>
    <row r="8" spans="1:10" ht="57">
      <c r="A8" s="9" t="s">
        <v>75</v>
      </c>
      <c r="B8" s="9" t="s">
        <v>76</v>
      </c>
      <c r="C8" s="81">
        <v>252934</v>
      </c>
      <c r="D8" s="9" t="s">
        <v>91</v>
      </c>
      <c r="E8" s="9">
        <v>4</v>
      </c>
      <c r="F8" s="8"/>
      <c r="G8" s="9">
        <v>1</v>
      </c>
      <c r="H8" s="9">
        <v>4</v>
      </c>
      <c r="I8" s="79" t="s">
        <v>89</v>
      </c>
      <c r="J8" s="9" t="s">
        <v>92</v>
      </c>
    </row>
    <row r="9" spans="1:10">
      <c r="A9" s="9" t="s">
        <v>75</v>
      </c>
      <c r="B9" s="9" t="s">
        <v>76</v>
      </c>
      <c r="C9" s="77">
        <v>252935</v>
      </c>
      <c r="D9" s="78" t="s">
        <v>93</v>
      </c>
      <c r="E9" s="9">
        <v>12</v>
      </c>
      <c r="G9" s="9">
        <v>0.5</v>
      </c>
      <c r="H9" s="9">
        <v>1</v>
      </c>
      <c r="I9" s="79" t="s">
        <v>94</v>
      </c>
      <c r="J9" s="80" t="s">
        <v>95</v>
      </c>
    </row>
    <row r="10" spans="1:10" ht="37.5">
      <c r="A10" s="9" t="s">
        <v>75</v>
      </c>
      <c r="B10" s="9" t="s">
        <v>76</v>
      </c>
      <c r="C10" s="77">
        <v>252936</v>
      </c>
      <c r="D10" s="78" t="s">
        <v>96</v>
      </c>
      <c r="E10" s="9">
        <v>8</v>
      </c>
      <c r="G10" s="9">
        <v>0.5</v>
      </c>
      <c r="H10" s="9">
        <v>1.5</v>
      </c>
      <c r="I10" s="79" t="s">
        <v>97</v>
      </c>
      <c r="J10" s="82" t="s">
        <v>98</v>
      </c>
    </row>
    <row r="11" spans="1:10" ht="37.5">
      <c r="A11" s="9" t="s">
        <v>75</v>
      </c>
      <c r="B11" s="9" t="s">
        <v>76</v>
      </c>
      <c r="C11" s="77">
        <v>252937</v>
      </c>
      <c r="D11" s="78" t="s">
        <v>99</v>
      </c>
      <c r="E11" s="9">
        <v>6</v>
      </c>
      <c r="G11" s="9">
        <v>0</v>
      </c>
      <c r="H11" s="9">
        <v>0</v>
      </c>
      <c r="I11" s="79" t="s">
        <v>100</v>
      </c>
      <c r="J11" s="82" t="s">
        <v>101</v>
      </c>
    </row>
    <row r="12" spans="1:10" ht="75.75">
      <c r="A12" s="9" t="s">
        <v>75</v>
      </c>
      <c r="B12" s="9" t="s">
        <v>76</v>
      </c>
      <c r="C12" s="77">
        <v>252938</v>
      </c>
      <c r="D12" s="78" t="s">
        <v>102</v>
      </c>
      <c r="E12" s="9">
        <v>6</v>
      </c>
      <c r="G12" s="9">
        <v>2.5</v>
      </c>
      <c r="H12" s="9">
        <v>10</v>
      </c>
      <c r="I12" s="79" t="s">
        <v>103</v>
      </c>
      <c r="J12" s="82" t="s">
        <v>104</v>
      </c>
    </row>
    <row r="13" spans="1:10" ht="37.5">
      <c r="A13" s="9" t="s">
        <v>75</v>
      </c>
      <c r="B13" s="9" t="s">
        <v>76</v>
      </c>
      <c r="C13" s="77">
        <v>252939</v>
      </c>
      <c r="D13" s="78" t="s">
        <v>105</v>
      </c>
      <c r="E13" s="9">
        <v>20</v>
      </c>
      <c r="G13" s="9">
        <v>1</v>
      </c>
      <c r="H13" s="9">
        <v>3</v>
      </c>
      <c r="I13" s="79" t="s">
        <v>106</v>
      </c>
      <c r="J13" s="82" t="s">
        <v>107</v>
      </c>
    </row>
    <row r="14" spans="1:10" ht="57">
      <c r="A14" s="9" t="s">
        <v>75</v>
      </c>
      <c r="B14" s="9" t="s">
        <v>76</v>
      </c>
      <c r="C14" s="77">
        <v>252940</v>
      </c>
      <c r="D14" s="78" t="s">
        <v>108</v>
      </c>
      <c r="E14" s="9">
        <v>40</v>
      </c>
      <c r="G14" s="9">
        <v>0</v>
      </c>
      <c r="H14" s="9">
        <v>0</v>
      </c>
      <c r="I14" s="79" t="s">
        <v>109</v>
      </c>
      <c r="J14" s="80" t="s">
        <v>110</v>
      </c>
    </row>
    <row r="15" spans="1:10">
      <c r="C15" s="77"/>
      <c r="D15" s="78"/>
      <c r="E15" s="78"/>
      <c r="F15" s="8" t="s">
        <v>111</v>
      </c>
      <c r="G15" s="8">
        <f>SUM(G3:G14)</f>
        <v>10</v>
      </c>
      <c r="H15" s="8">
        <f>SUM(H3:H14)</f>
        <v>27</v>
      </c>
      <c r="I15" s="84" t="s">
        <v>112</v>
      </c>
    </row>
    <row r="16" spans="1:10">
      <c r="C16" s="77"/>
      <c r="D16" s="78"/>
      <c r="E16" s="78"/>
      <c r="F16" s="8"/>
      <c r="G16" s="8"/>
      <c r="H16" s="8"/>
      <c r="I16" s="79"/>
    </row>
    <row r="17" spans="1:10" ht="57">
      <c r="A17" s="9" t="s">
        <v>113</v>
      </c>
      <c r="B17" s="9" t="s">
        <v>114</v>
      </c>
      <c r="C17" s="77">
        <v>259685</v>
      </c>
      <c r="D17" s="78" t="s">
        <v>115</v>
      </c>
      <c r="E17" s="9">
        <v>8</v>
      </c>
      <c r="G17" s="9">
        <v>1</v>
      </c>
      <c r="H17" s="9">
        <v>3</v>
      </c>
      <c r="I17" s="79" t="s">
        <v>116</v>
      </c>
      <c r="J17" s="82" t="s">
        <v>117</v>
      </c>
    </row>
    <row r="18" spans="1:10" ht="94.5">
      <c r="A18" s="9" t="s">
        <v>113</v>
      </c>
      <c r="B18" s="9" t="s">
        <v>114</v>
      </c>
      <c r="C18" s="77">
        <v>259686</v>
      </c>
      <c r="D18" s="78" t="s">
        <v>118</v>
      </c>
      <c r="E18" s="9">
        <v>16</v>
      </c>
      <c r="G18" s="9">
        <v>1</v>
      </c>
      <c r="H18" s="9">
        <v>7</v>
      </c>
      <c r="I18" s="79" t="s">
        <v>119</v>
      </c>
      <c r="J18" s="80" t="s">
        <v>120</v>
      </c>
    </row>
    <row r="19" spans="1:10">
      <c r="C19" s="77"/>
      <c r="D19" s="78"/>
      <c r="E19" s="78"/>
      <c r="F19" s="8" t="s">
        <v>111</v>
      </c>
      <c r="G19" s="8">
        <f>SUM(G17:G18)</f>
        <v>2</v>
      </c>
      <c r="H19" s="8">
        <f>SUM(H17:H18)</f>
        <v>10</v>
      </c>
      <c r="I19" s="84" t="s">
        <v>112</v>
      </c>
    </row>
    <row r="20" spans="1:10">
      <c r="C20" s="77"/>
      <c r="D20" s="78"/>
      <c r="E20" s="78"/>
      <c r="F20" s="8"/>
      <c r="G20" s="8"/>
      <c r="H20" s="8"/>
      <c r="I20" s="79"/>
    </row>
    <row r="21" spans="1:10">
      <c r="C21" s="77"/>
      <c r="D21" s="78"/>
      <c r="E21" s="78"/>
      <c r="I21" s="79" t="s">
        <v>121</v>
      </c>
      <c r="J21" s="82"/>
    </row>
    <row r="22" spans="1:10">
      <c r="C22" s="77"/>
      <c r="D22" s="78"/>
      <c r="E22" s="78"/>
      <c r="I22" s="79" t="s">
        <v>122</v>
      </c>
      <c r="J22" s="80"/>
    </row>
    <row r="23" spans="1:10">
      <c r="C23" s="77"/>
      <c r="D23" s="78"/>
      <c r="E23" s="78"/>
      <c r="F23" s="8"/>
      <c r="G23" s="8"/>
      <c r="H23" s="8"/>
    </row>
    <row r="24" spans="1:10">
      <c r="C24" s="77"/>
      <c r="D24" s="78"/>
      <c r="E24" s="78"/>
      <c r="F24" s="8"/>
      <c r="G24" s="8"/>
      <c r="H24" s="8"/>
    </row>
    <row r="25" spans="1:10">
      <c r="C25" s="77"/>
      <c r="D25" s="78"/>
      <c r="E25" s="78"/>
      <c r="J25" s="80"/>
    </row>
    <row r="26" spans="1:10">
      <c r="C26" s="77"/>
      <c r="D26" s="78"/>
      <c r="E26" s="78"/>
      <c r="J26" s="82"/>
    </row>
    <row r="27" spans="1:10">
      <c r="C27" s="77"/>
      <c r="D27" s="78"/>
      <c r="E27" s="78"/>
      <c r="F27" s="8"/>
      <c r="G27" s="8"/>
      <c r="H27" s="8"/>
    </row>
    <row r="28" spans="1:10">
      <c r="C28" s="77"/>
      <c r="D28" s="78"/>
      <c r="E28" s="78"/>
      <c r="J28" s="80"/>
    </row>
    <row r="29" spans="1:10">
      <c r="C29" s="77"/>
      <c r="D29" s="78"/>
      <c r="E29" s="78"/>
      <c r="J29" s="80"/>
    </row>
    <row r="30" spans="1:10">
      <c r="A30" s="83"/>
      <c r="B30" s="83"/>
      <c r="C30" s="77"/>
      <c r="D30" s="78"/>
      <c r="E30" s="78"/>
      <c r="J30" s="80"/>
    </row>
    <row r="31" spans="1:10">
      <c r="C31" s="77"/>
      <c r="D31" s="78"/>
      <c r="E31" s="78"/>
      <c r="J31" s="80"/>
    </row>
    <row r="32" spans="1:10">
      <c r="C32" s="77"/>
      <c r="D32" s="78"/>
      <c r="E32" s="78"/>
      <c r="J32" s="80"/>
    </row>
    <row r="33" spans="3:10">
      <c r="C33" s="77"/>
      <c r="D33" s="78"/>
      <c r="E33" s="78"/>
      <c r="J33" s="80"/>
    </row>
    <row r="34" spans="3:10">
      <c r="C34" s="77"/>
      <c r="D34" s="78"/>
      <c r="E34" s="78"/>
      <c r="J34" s="80"/>
    </row>
    <row r="35" spans="3:10">
      <c r="C35" s="77"/>
      <c r="D35" s="78"/>
      <c r="E35" s="78"/>
      <c r="J35" s="80"/>
    </row>
    <row r="36" spans="3:10">
      <c r="C36" s="77"/>
      <c r="D36" s="78"/>
      <c r="E36" s="78"/>
      <c r="J36" s="80"/>
    </row>
    <row r="37" spans="3:10">
      <c r="C37" s="77"/>
      <c r="D37" s="78"/>
      <c r="E37" s="78"/>
      <c r="J37" s="80"/>
    </row>
    <row r="38" spans="3:10">
      <c r="C38" s="77"/>
      <c r="D38" s="78"/>
      <c r="E38" s="78"/>
      <c r="J38" s="80"/>
    </row>
    <row r="39" spans="3:10">
      <c r="C39" s="81"/>
      <c r="F39" s="8"/>
      <c r="G39" s="8"/>
      <c r="H39" s="8"/>
    </row>
    <row r="40" spans="3:10">
      <c r="C40" s="81"/>
      <c r="F40" s="8"/>
      <c r="G40" s="8"/>
      <c r="H40" s="8"/>
    </row>
    <row r="41" spans="3:10">
      <c r="C41" s="77"/>
      <c r="D41" s="78"/>
      <c r="E41" s="78"/>
      <c r="J41" s="80"/>
    </row>
    <row r="42" spans="3:10">
      <c r="C42" s="77"/>
      <c r="D42" s="78"/>
      <c r="E42" s="78"/>
      <c r="J42" s="80"/>
    </row>
    <row r="43" spans="3:10">
      <c r="C43" s="77"/>
      <c r="D43" s="78"/>
      <c r="E43" s="78"/>
      <c r="J43" s="80"/>
    </row>
    <row r="44" spans="3:10">
      <c r="C44" s="77"/>
      <c r="D44" s="78"/>
      <c r="E44" s="78"/>
      <c r="J44" s="80"/>
    </row>
    <row r="45" spans="3:10">
      <c r="C45" s="77"/>
      <c r="D45" s="78"/>
      <c r="E45" s="78"/>
      <c r="J45" s="80"/>
    </row>
    <row r="46" spans="3:10">
      <c r="C46" s="81"/>
      <c r="F46" s="8"/>
      <c r="G46" s="8"/>
      <c r="H46" s="8"/>
    </row>
    <row r="47" spans="3:10">
      <c r="C47" s="77"/>
      <c r="D47" s="78"/>
      <c r="E47" s="7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zoomScaleNormal="100" workbookViewId="0">
      <selection activeCell="A3" sqref="A3:D3"/>
    </sheetView>
  </sheetViews>
  <sheetFormatPr defaultColWidth="9.140625" defaultRowHeight="14.45"/>
  <cols>
    <col min="1" max="1" width="26.7109375" customWidth="1"/>
    <col min="2" max="2" width="22.7109375" customWidth="1"/>
    <col min="3" max="3" width="30.7109375" customWidth="1"/>
    <col min="4" max="4" width="28" customWidth="1"/>
    <col min="5" max="6" width="9.140625" customWidth="1"/>
  </cols>
  <sheetData>
    <row r="1" spans="1:4" ht="23.45">
      <c r="A1" s="71" t="s">
        <v>123</v>
      </c>
    </row>
    <row r="3" spans="1:4" ht="66" customHeight="1">
      <c r="A3" s="89" t="s">
        <v>124</v>
      </c>
      <c r="B3" s="89"/>
      <c r="C3" s="89"/>
      <c r="D3" s="89"/>
    </row>
    <row r="6" spans="1:4">
      <c r="A6" t="s">
        <v>125</v>
      </c>
      <c r="B6" t="s">
        <v>126</v>
      </c>
    </row>
    <row r="7" spans="1:4">
      <c r="A7" t="s">
        <v>127</v>
      </c>
      <c r="B7" t="s">
        <v>128</v>
      </c>
    </row>
    <row r="9" spans="1:4">
      <c r="A9" t="s">
        <v>129</v>
      </c>
      <c r="B9" t="s">
        <v>130</v>
      </c>
    </row>
    <row r="10" spans="1:4">
      <c r="A10" t="s">
        <v>131</v>
      </c>
      <c r="B10" t="s">
        <v>132</v>
      </c>
      <c r="C10" t="s">
        <v>133</v>
      </c>
    </row>
  </sheetData>
  <mergeCells count="1">
    <mergeCell ref="A3:D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A17" sqref="A17"/>
    </sheetView>
  </sheetViews>
  <sheetFormatPr defaultRowHeight="14.45"/>
  <cols>
    <col min="1" max="1" width="20" customWidth="1"/>
    <col min="2" max="2" width="118.5703125" customWidth="1"/>
  </cols>
  <sheetData>
    <row r="1" spans="1:2" ht="15" customHeight="1">
      <c r="A1" s="91" t="s">
        <v>134</v>
      </c>
      <c r="B1" s="92"/>
    </row>
    <row r="2" spans="1:2" ht="15" customHeight="1">
      <c r="A2" s="67"/>
      <c r="B2" s="68"/>
    </row>
    <row r="3" spans="1:2" ht="135" customHeight="1">
      <c r="A3" s="90" t="s">
        <v>135</v>
      </c>
      <c r="B3" s="94"/>
    </row>
    <row r="6" spans="1:2" ht="15" customHeight="1">
      <c r="A6" s="67" t="s">
        <v>136</v>
      </c>
    </row>
    <row r="7" spans="1:2" ht="15" customHeight="1">
      <c r="A7" s="67"/>
    </row>
    <row r="8" spans="1:2">
      <c r="A8" t="s">
        <v>137</v>
      </c>
      <c r="B8" s="25" t="s">
        <v>138</v>
      </c>
    </row>
    <row r="9" spans="1:2">
      <c r="A9" t="s">
        <v>139</v>
      </c>
      <c r="B9" s="25" t="s">
        <v>140</v>
      </c>
    </row>
    <row r="10" spans="1:2">
      <c r="A10" t="s">
        <v>141</v>
      </c>
      <c r="B10" s="25" t="s">
        <v>142</v>
      </c>
    </row>
    <row r="11" spans="1:2">
      <c r="A11" t="s">
        <v>143</v>
      </c>
      <c r="B11" s="25" t="s">
        <v>144</v>
      </c>
    </row>
    <row r="12" spans="1:2">
      <c r="A12" t="s">
        <v>145</v>
      </c>
      <c r="B12" s="25" t="s">
        <v>146</v>
      </c>
    </row>
    <row r="13" spans="1:2">
      <c r="A13" t="s">
        <v>147</v>
      </c>
      <c r="B13" s="25" t="s">
        <v>148</v>
      </c>
    </row>
  </sheetData>
  <mergeCells count="2">
    <mergeCell ref="A3:B3"/>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E780F6F704C546AE4B97074EE896DB" ma:contentTypeVersion="6" ma:contentTypeDescription="Create a new document." ma:contentTypeScope="" ma:versionID="41153ca1c0626853d7ed3c02b535c39b">
  <xsd:schema xmlns:xsd="http://www.w3.org/2001/XMLSchema" xmlns:xs="http://www.w3.org/2001/XMLSchema" xmlns:p="http://schemas.microsoft.com/office/2006/metadata/properties" xmlns:ns2="4480cb34-6d1d-46d2-b879-cf611f2e6c16" xmlns:ns3="94d28ff1-60c9-4401-bf4e-e99c25dda11f" targetNamespace="http://schemas.microsoft.com/office/2006/metadata/properties" ma:root="true" ma:fieldsID="a5de87798ce2935022b8953b10774480" ns2:_="" ns3:_="">
    <xsd:import namespace="4480cb34-6d1d-46d2-b879-cf611f2e6c16"/>
    <xsd:import namespace="94d28ff1-60c9-4401-bf4e-e99c25dda11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80cb34-6d1d-46d2-b879-cf611f2e6c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d28ff1-60c9-4401-bf4e-e99c25dda11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EB5D6B-D60B-4AC7-99FE-948F2C075C2C}"/>
</file>

<file path=customXml/itemProps2.xml><?xml version="1.0" encoding="utf-8"?>
<ds:datastoreItem xmlns:ds="http://schemas.openxmlformats.org/officeDocument/2006/customXml" ds:itemID="{B144750C-4A30-4B70-BC94-03E9E71E3C15}"/>
</file>

<file path=customXml/itemProps3.xml><?xml version="1.0" encoding="utf-8"?>
<ds:datastoreItem xmlns:ds="http://schemas.openxmlformats.org/officeDocument/2006/customXml" ds:itemID="{7B8F2F12-854D-479C-8733-8C9CA64D8A1B}"/>
</file>

<file path=docProps/app.xml><?xml version="1.0" encoding="utf-8"?>
<Properties xmlns="http://schemas.openxmlformats.org/officeDocument/2006/extended-properties" xmlns:vt="http://schemas.openxmlformats.org/officeDocument/2006/docPropsVTypes">
  <Application>Microsoft Excel Online</Application>
  <Manager/>
  <Company>PEER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 STP</dc:title>
  <dc:subject/>
  <dc:creator>Lev Cocarell</dc:creator>
  <cp:keywords/>
  <dc:description/>
  <cp:lastModifiedBy/>
  <cp:revision/>
  <dcterms:created xsi:type="dcterms:W3CDTF">2015-12-23T20:25:42Z</dcterms:created>
  <dcterms:modified xsi:type="dcterms:W3CDTF">2026-06-24T17:45:21Z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0x0101007FE780F6F704C546AE4B97074EE896DB</vt:lpwstr>
  </property>
</Properties>
</file>