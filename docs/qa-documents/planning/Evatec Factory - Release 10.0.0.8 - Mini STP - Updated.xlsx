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cocarell\Desktop\Evatec PF\"/>
    </mc:Choice>
  </mc:AlternateContent>
  <xr:revisionPtr revIDLastSave="0" documentId="13_ncr:1_{5A2AF16F-ABCC-42B7-80FC-9243C41E3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Change Requests" sheetId="6" r:id="rId2"/>
    <sheet name="Template Info &amp; Doc Control" sheetId="3" r:id="rId3"/>
  </sheets>
  <definedNames>
    <definedName name="VSTS_7cd0c1e9_4dd5_4bc8_9da7_632c27882122_1" hidden="1">#REF!</definedName>
    <definedName name="VSTS_7cd0c1e9_4dd5_4bc8_9da7_632c27882122_10010" hidden="1">#REF!</definedName>
    <definedName name="VSTS_7cd0c1e9_4dd5_4bc8_9da7_632c27882122_10011" hidden="1">#REF!</definedName>
    <definedName name="VSTS_7cd0c1e9_4dd5_4bc8_9da7_632c27882122_10019" hidden="1">#REF!</definedName>
    <definedName name="VSTS_7cd0c1e9_4dd5_4bc8_9da7_632c27882122_10020" hidden="1">#REF!</definedName>
    <definedName name="VSTS_7cd0c1e9_4dd5_4bc8_9da7_632c27882122_10030" hidden="1">#REF!</definedName>
    <definedName name="VSTS_7cd0c1e9_4dd5_4bc8_9da7_632c27882122_10243" hidden="1">#REF!</definedName>
    <definedName name="VSTS_7cd0c1e9_4dd5_4bc8_9da7_632c27882122_10249" hidden="1">#REF!</definedName>
    <definedName name="VSTS_7cd0c1e9_4dd5_4bc8_9da7_632c27882122_2" hidden="1">#REF!</definedName>
    <definedName name="VSTS_7cd0c1e9_4dd5_4bc8_9da7_632c27882122_22" hidden="1">#REF!</definedName>
    <definedName name="VSTS_7cd0c1e9_4dd5_4bc8_9da7_632c27882122_24" hidden="1">#REF!</definedName>
    <definedName name="VSTS_7cd0c1e9_4dd5_4bc8_9da7_632c27882122_25" hidden="1">#REF!</definedName>
    <definedName name="VSTS_7cd0c1e9_4dd5_4bc8_9da7_632c27882122_n105" hidden="1">#REF!</definedName>
    <definedName name="VSTS_7cd0c1e9_4dd5_4bc8_9da7_632c27882122_n3" hidden="1">#REF!</definedName>
    <definedName name="VSTS_7cd0c1e9_4dd5_4bc8_9da7_632c27882122_n7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H9" i="6"/>
  <c r="K22" i="1"/>
  <c r="J22" i="1"/>
  <c r="L20" i="1"/>
  <c r="L22" i="1" s="1"/>
  <c r="F20" i="1"/>
  <c r="F22" i="1" l="1"/>
  <c r="D29" i="1"/>
  <c r="K9" i="1"/>
  <c r="J8" i="1"/>
  <c r="D26" i="1" l="1"/>
  <c r="D27" i="1" s="1"/>
  <c r="D28" i="1" s="1"/>
  <c r="D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Ward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Update</t>
        </r>
      </text>
    </comment>
    <comment ref="H3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Please fill in with any additional comments.</t>
        </r>
      </text>
    </comment>
  </commentList>
</comments>
</file>

<file path=xl/sharedStrings.xml><?xml version="1.0" encoding="utf-8"?>
<sst xmlns="http://schemas.openxmlformats.org/spreadsheetml/2006/main" count="109" uniqueCount="90">
  <si>
    <t>Evatec Factor - Release 10.0.0.8 - Mini Software Test Plan</t>
  </si>
  <si>
    <t>Wrap-up: Actuals and analysis/comments</t>
  </si>
  <si>
    <t>Rqmt/CR/Bug ID</t>
  </si>
  <si>
    <t>Work Item Type</t>
  </si>
  <si>
    <t>Timekeeping</t>
  </si>
  <si>
    <t>Writing Estimate</t>
  </si>
  <si>
    <t>Testing Estimate</t>
  </si>
  <si>
    <t>Comments</t>
  </si>
  <si>
    <t>Azure Writing
Actuals</t>
  </si>
  <si>
    <t>Azure Testing
Actuals</t>
  </si>
  <si>
    <t>Timekeeping
Actuals</t>
  </si>
  <si>
    <t>Prepare Software Test Plan</t>
  </si>
  <si>
    <t>Sys-Testing\plan</t>
  </si>
  <si>
    <t>Get from TK</t>
  </si>
  <si>
    <t>New Functionality</t>
  </si>
  <si>
    <t>Change Requests</t>
  </si>
  <si>
    <t>Ad hoc testing</t>
  </si>
  <si>
    <t>Sys-Testing\QA Test</t>
  </si>
  <si>
    <t>Information found on Change Requests tab</t>
  </si>
  <si>
    <t>Get From Azure</t>
  </si>
  <si>
    <t>Total New - Writing</t>
  </si>
  <si>
    <t>Sys-Testing\write</t>
  </si>
  <si>
    <t>Comment if Azure &amp; TK significantly different</t>
  </si>
  <si>
    <t>Total New - Testing</t>
  </si>
  <si>
    <t>Regression</t>
  </si>
  <si>
    <t>Total Regression</t>
  </si>
  <si>
    <t>Sys-Testing\regression</t>
  </si>
  <si>
    <t>Get from Azure</t>
  </si>
  <si>
    <t>General / Other</t>
  </si>
  <si>
    <t>Consult time with Dev</t>
  </si>
  <si>
    <t>Sys-Testing \consult</t>
  </si>
  <si>
    <t>Environment Setup, installing builds</t>
  </si>
  <si>
    <t>Sys-Testing \setup</t>
  </si>
  <si>
    <t>Haven't set up environments in awhile, which can introduce some complexity</t>
  </si>
  <si>
    <t>Bug verification</t>
  </si>
  <si>
    <t>Sys-Testing\verify</t>
  </si>
  <si>
    <t>Four external bugs to verify, adding some time for internal issues as well</t>
  </si>
  <si>
    <t>Unplanned changes / contingency</t>
  </si>
  <si>
    <t>Sys-Testing\misc</t>
  </si>
  <si>
    <t>Total General</t>
  </si>
  <si>
    <t>Grand Total (estimate)</t>
  </si>
  <si>
    <t>Grand Total (actual)</t>
  </si>
  <si>
    <t>Budget:</t>
  </si>
  <si>
    <t>Hours:</t>
  </si>
  <si>
    <r>
      <t>Budget</t>
    </r>
    <r>
      <rPr>
        <b/>
        <sz val="12"/>
        <color theme="1"/>
        <rFont val="Calibri"/>
        <family val="2"/>
        <scheme val="minor"/>
      </rPr>
      <t xml:space="preserve"> (check TK or ask PM)</t>
    </r>
  </si>
  <si>
    <t>Estimated Effort</t>
  </si>
  <si>
    <t>Difference (hours)</t>
  </si>
  <si>
    <t>% Difference to Budget</t>
  </si>
  <si>
    <t>Actual Effort (hours)</t>
  </si>
  <si>
    <t>Actual Effort (% Diff to Budget)</t>
  </si>
  <si>
    <t>Assumptions, Areas Not Tested, Other supporting information:</t>
  </si>
  <si>
    <t xml:space="preserve">Include in this section any assumptions, areas you will not be testing (but feel you should be) and any other information that will help explain your stategy, risks, etc. </t>
  </si>
  <si>
    <t>Area Path</t>
  </si>
  <si>
    <t>Iteration Path</t>
  </si>
  <si>
    <t xml:space="preserve"> ID</t>
  </si>
  <si>
    <t>Title</t>
  </si>
  <si>
    <t>Developer Estimate</t>
  </si>
  <si>
    <t>QA Writing Est</t>
  </si>
  <si>
    <t>QA Testing Est</t>
  </si>
  <si>
    <t>Link</t>
  </si>
  <si>
    <t>PFEvatec\WF00 (Core)</t>
  </si>
  <si>
    <t>PFEvatec\Phase 2\R10\R10.0\R10.0.8</t>
  </si>
  <si>
    <t>Ticket #23360 - Sorting predefiend type values</t>
  </si>
  <si>
    <t>PFEvatec\WF06 (Logbook)\HW Config</t>
  </si>
  <si>
    <t>Ticket #23423 - collapse all in hardware list</t>
  </si>
  <si>
    <t>PFEvatec\WF02 (Box and Substrates)</t>
  </si>
  <si>
    <t>Ticket #24059 - Automatic ECL Box Reminder</t>
  </si>
  <si>
    <t>PFEvatec\WF08 (DB)\BPS</t>
  </si>
  <si>
    <t>Total Est Time:</t>
  </si>
  <si>
    <t>Template Information:</t>
  </si>
  <si>
    <r>
      <t xml:space="preserve">This template is intended for </t>
    </r>
    <r>
      <rPr>
        <b/>
        <sz val="11"/>
        <color theme="1"/>
        <rFont val="Calibri"/>
        <family val="2"/>
        <scheme val="minor"/>
      </rPr>
      <t xml:space="preserve">small/simple projects/product releases </t>
    </r>
    <r>
      <rPr>
        <sz val="11"/>
        <color theme="1"/>
        <rFont val="Calibri"/>
        <family val="2"/>
        <scheme val="minor"/>
      </rPr>
      <t>(e.g., service packs). Use the following guidelines:
-  QA effort is ~80 hours or less. If it is more, then you need permission from your project/product Manager to use the mini-STP.
-  Only 1 QA resource. If 2 QA resources (but other criteria apply), then add a Resource column to the right of the Timekeeping column. If &gt;2 then use full STP.
-  There is no "manage" activity in the template because it is assumed it is small enough that it is not needed. It can be added if needed.
-  Do not use this STP template if testing SEMI standard changes (product) or kicking off test automation initiatives.
-  There is no "task" column because it is assumed that the Test task(s) will be linked to the Requirement/CR/Bug listed in each row.
Basically, if you find that this template requires too much modification to outline your test strategy, then use the full STP.</t>
    </r>
  </si>
  <si>
    <t>Document Control Information:</t>
  </si>
  <si>
    <t>Template Version:</t>
  </si>
  <si>
    <t>1.2</t>
  </si>
  <si>
    <t>Release Date:</t>
  </si>
  <si>
    <t>February 10, 2022</t>
  </si>
  <si>
    <t>Document Owner:</t>
  </si>
  <si>
    <t>Sylvia Ward</t>
  </si>
  <si>
    <t>Approvers:</t>
  </si>
  <si>
    <t>Services Management Team</t>
  </si>
  <si>
    <t>Next Review Date:</t>
  </si>
  <si>
    <t>February 10, 2024</t>
  </si>
  <si>
    <t>Expiration Date:</t>
  </si>
  <si>
    <t>May 10, 2024</t>
  </si>
  <si>
    <t>Perform quick manual smoke test around changes</t>
  </si>
  <si>
    <t>Ticket #32097 - Project (Work Order) upload from Excel</t>
  </si>
  <si>
    <t>Ticket #29725 - Store files/manual data against modules</t>
  </si>
  <si>
    <t>Ticket #22904 - Modify Tracking data</t>
  </si>
  <si>
    <t>PFEvatec\WF04 (Substrate Browsing and Analysis)\Substrates</t>
  </si>
  <si>
    <t>PFEvatec\WF03 (Process and Measure)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</si>
</sst>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u/>
      <sz val="18"/>
      <color theme="3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rgb="FF2B4384"/>
      <name val="Candara"/>
      <family val="2"/>
    </font>
    <font>
      <sz val="11"/>
      <color rgb="FF2B4384"/>
      <name val="Candara"/>
      <family val="2"/>
    </font>
    <font>
      <b/>
      <sz val="18"/>
      <color rgb="FF2B4384"/>
      <name val="Candara"/>
      <family val="2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charset val="1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/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theme="4"/>
      </bottom>
      <diagonal/>
    </border>
    <border>
      <left/>
      <right/>
      <top style="double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3"/>
      </right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4" fillId="0" borderId="0">
      <alignment horizontal="left"/>
    </xf>
    <xf numFmtId="0" fontId="15" fillId="0" borderId="0">
      <alignment horizontal="left" wrapText="1"/>
    </xf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25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3" borderId="3" xfId="0" applyFont="1" applyFill="1" applyBorder="1"/>
    <xf numFmtId="0" fontId="3" fillId="0" borderId="0" xfId="0" applyFont="1" applyAlignment="1">
      <alignment horizontal="right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/>
    <xf numFmtId="0" fontId="3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0" fillId="0" borderId="6" xfId="0" applyBorder="1"/>
    <xf numFmtId="0" fontId="9" fillId="3" borderId="8" xfId="0" applyFont="1" applyFill="1" applyBorder="1"/>
    <xf numFmtId="0" fontId="9" fillId="3" borderId="4" xfId="0" applyFont="1" applyFill="1" applyBorder="1"/>
    <xf numFmtId="10" fontId="9" fillId="3" borderId="9" xfId="0" applyNumberFormat="1" applyFont="1" applyFill="1" applyBorder="1"/>
    <xf numFmtId="10" fontId="9" fillId="3" borderId="4" xfId="0" applyNumberFormat="1" applyFont="1" applyFill="1" applyBorder="1"/>
    <xf numFmtId="0" fontId="9" fillId="3" borderId="5" xfId="0" applyFont="1" applyFill="1" applyBorder="1"/>
    <xf numFmtId="0" fontId="3" fillId="0" borderId="10" xfId="3" applyBorder="1" applyAlignment="1">
      <alignment wrapText="1"/>
    </xf>
    <xf numFmtId="0" fontId="3" fillId="0" borderId="10" xfId="3" applyBorder="1"/>
    <xf numFmtId="0" fontId="17" fillId="0" borderId="0" xfId="1" applyFont="1" applyBorder="1"/>
    <xf numFmtId="0" fontId="16" fillId="0" borderId="0" xfId="0" applyFont="1"/>
    <xf numFmtId="0" fontId="9" fillId="2" borderId="2" xfId="3" applyFont="1" applyFill="1" applyAlignment="1">
      <alignment wrapText="1"/>
    </xf>
    <xf numFmtId="49" fontId="0" fillId="0" borderId="0" xfId="0" applyNumberFormat="1"/>
    <xf numFmtId="0" fontId="8" fillId="0" borderId="0" xfId="0" applyFont="1" applyAlignment="1">
      <alignment horizontal="left" vertical="top" wrapText="1"/>
    </xf>
    <xf numFmtId="0" fontId="16" fillId="0" borderId="12" xfId="0" applyFont="1" applyBorder="1"/>
    <xf numFmtId="0" fontId="3" fillId="0" borderId="15" xfId="3" applyBorder="1"/>
    <xf numFmtId="164" fontId="0" fillId="0" borderId="0" xfId="0" applyNumberFormat="1"/>
    <xf numFmtId="0" fontId="3" fillId="2" borderId="0" xfId="0" applyFont="1" applyFill="1"/>
    <xf numFmtId="0" fontId="0" fillId="0" borderId="0" xfId="0" applyAlignment="1">
      <alignment vertical="top" wrapText="1"/>
    </xf>
    <xf numFmtId="0" fontId="9" fillId="2" borderId="6" xfId="0" applyFont="1" applyFill="1" applyBorder="1"/>
    <xf numFmtId="164" fontId="0" fillId="0" borderId="6" xfId="0" applyNumberFormat="1" applyBorder="1"/>
    <xf numFmtId="0" fontId="0" fillId="0" borderId="6" xfId="0" applyBorder="1" applyAlignment="1">
      <alignment vertical="top" wrapText="1"/>
    </xf>
    <xf numFmtId="0" fontId="3" fillId="0" borderId="6" xfId="0" applyFont="1" applyBorder="1"/>
    <xf numFmtId="0" fontId="0" fillId="0" borderId="18" xfId="0" applyBorder="1"/>
    <xf numFmtId="0" fontId="6" fillId="0" borderId="19" xfId="0" applyFont="1" applyBorder="1"/>
    <xf numFmtId="0" fontId="6" fillId="0" borderId="14" xfId="0" applyFont="1" applyBorder="1"/>
    <xf numFmtId="0" fontId="6" fillId="0" borderId="20" xfId="0" applyFont="1" applyBorder="1"/>
    <xf numFmtId="0" fontId="0" fillId="0" borderId="16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6" fillId="0" borderId="17" xfId="0" applyFont="1" applyBorder="1" applyAlignment="1">
      <alignment horizontal="left"/>
    </xf>
    <xf numFmtId="0" fontId="6" fillId="0" borderId="18" xfId="0" applyFont="1" applyBorder="1"/>
    <xf numFmtId="0" fontId="0" fillId="0" borderId="17" xfId="0" applyBorder="1"/>
    <xf numFmtId="0" fontId="6" fillId="0" borderId="18" xfId="0" applyFont="1" applyBorder="1" applyAlignment="1">
      <alignment horizontal="right"/>
    </xf>
    <xf numFmtId="0" fontId="6" fillId="0" borderId="13" xfId="0" applyFont="1" applyBorder="1" applyAlignment="1">
      <alignment horizontal="left"/>
    </xf>
    <xf numFmtId="0" fontId="0" fillId="0" borderId="14" xfId="0" applyBorder="1"/>
    <xf numFmtId="0" fontId="0" fillId="0" borderId="13" xfId="0" applyBorder="1"/>
    <xf numFmtId="0" fontId="5" fillId="0" borderId="14" xfId="0" applyFont="1" applyBorder="1" applyAlignment="1">
      <alignment wrapText="1"/>
    </xf>
    <xf numFmtId="0" fontId="6" fillId="0" borderId="21" xfId="0" applyFont="1" applyBorder="1" applyAlignment="1">
      <alignment horizontal="left"/>
    </xf>
    <xf numFmtId="0" fontId="0" fillId="0" borderId="22" xfId="0" applyBorder="1"/>
    <xf numFmtId="0" fontId="7" fillId="0" borderId="22" xfId="0" applyFont="1" applyBorder="1"/>
    <xf numFmtId="0" fontId="0" fillId="0" borderId="22" xfId="0" applyBorder="1" applyAlignment="1">
      <alignment wrapText="1"/>
    </xf>
    <xf numFmtId="0" fontId="5" fillId="0" borderId="22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Font="1" applyBorder="1"/>
    <xf numFmtId="0" fontId="0" fillId="0" borderId="21" xfId="0" applyBorder="1"/>
    <xf numFmtId="0" fontId="3" fillId="0" borderId="23" xfId="0" applyFont="1" applyBorder="1" applyAlignment="1">
      <alignment horizontal="right"/>
    </xf>
    <xf numFmtId="0" fontId="3" fillId="0" borderId="22" xfId="0" applyFont="1" applyBorder="1"/>
    <xf numFmtId="0" fontId="3" fillId="0" borderId="11" xfId="3" applyBorder="1"/>
    <xf numFmtId="0" fontId="3" fillId="0" borderId="22" xfId="0" applyFont="1" applyBorder="1" applyAlignment="1">
      <alignment horizontal="right"/>
    </xf>
    <xf numFmtId="1" fontId="9" fillId="3" borderId="24" xfId="0" applyNumberFormat="1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3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3" borderId="7" xfId="2" applyFont="1" applyFill="1" applyBorder="1" applyAlignment="1">
      <alignment wrapText="1"/>
    </xf>
    <xf numFmtId="0" fontId="23" fillId="4" borderId="0" xfId="2" applyFont="1" applyFill="1" applyBorder="1" applyAlignment="1">
      <alignment wrapText="1"/>
    </xf>
    <xf numFmtId="0" fontId="9" fillId="0" borderId="10" xfId="3" applyFont="1" applyBorder="1"/>
    <xf numFmtId="0" fontId="9" fillId="0" borderId="10" xfId="3" applyFont="1" applyBorder="1" applyAlignment="1">
      <alignment wrapText="1"/>
    </xf>
    <xf numFmtId="0" fontId="24" fillId="0" borderId="1" xfId="2" applyFont="1" applyFill="1"/>
    <xf numFmtId="1" fontId="10" fillId="0" borderId="0" xfId="0" applyNumberFormat="1" applyFont="1" applyAlignment="1">
      <alignment horizontal="left"/>
    </xf>
    <xf numFmtId="49" fontId="10" fillId="0" borderId="0" xfId="0" applyNumberFormat="1" applyFont="1"/>
    <xf numFmtId="0" fontId="10" fillId="0" borderId="0" xfId="0" applyFont="1" applyAlignment="1">
      <alignment wrapText="1"/>
    </xf>
    <xf numFmtId="0" fontId="26" fillId="0" borderId="0" xfId="20" applyFont="1"/>
    <xf numFmtId="0" fontId="27" fillId="0" borderId="0" xfId="0" applyFont="1"/>
    <xf numFmtId="0" fontId="10" fillId="0" borderId="0" xfId="0" applyFont="1" applyAlignment="1">
      <alignment horizontal="left"/>
    </xf>
    <xf numFmtId="0" fontId="26" fillId="0" borderId="0" xfId="20" applyFont="1" applyFill="1"/>
    <xf numFmtId="0" fontId="28" fillId="0" borderId="0" xfId="0" applyFont="1" applyAlignment="1">
      <alignment wrapText="1"/>
    </xf>
    <xf numFmtId="0" fontId="29" fillId="0" borderId="0" xfId="0" applyFont="1"/>
    <xf numFmtId="0" fontId="22" fillId="0" borderId="0" xfId="1" applyFont="1" applyBorder="1" applyAlignment="1">
      <alignment horizontal="left" wrapText="1"/>
    </xf>
    <xf numFmtId="0" fontId="22" fillId="0" borderId="12" xfId="1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9" fillId="2" borderId="0" xfId="3" applyFont="1" applyFill="1" applyBorder="1" applyAlignment="1">
      <alignment wrapText="1"/>
    </xf>
    <xf numFmtId="0" fontId="0" fillId="0" borderId="0" xfId="0" applyAlignment="1"/>
    <xf numFmtId="0" fontId="20" fillId="4" borderId="0" xfId="2" applyFont="1" applyFill="1" applyBorder="1" applyAlignment="1">
      <alignment wrapText="1"/>
    </xf>
    <xf numFmtId="0" fontId="21" fillId="4" borderId="0" xfId="0" applyFont="1" applyFill="1" applyAlignme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1">
    <cellStyle name="Case Description" xfId="8" xr:uid="{00000000-0005-0000-0000-000000000000}"/>
    <cellStyle name="Case Name" xfId="7" xr:uid="{00000000-0005-0000-0000-000001000000}"/>
    <cellStyle name="Heading 1" xfId="2" builtinId="16"/>
    <cellStyle name="Hyperlink" xfId="20" builtinId="8"/>
    <cellStyle name="Normal" xfId="0" builtinId="0"/>
    <cellStyle name="Normal 10" xfId="5" xr:uid="{00000000-0005-0000-0000-000004000000}"/>
    <cellStyle name="Normal 11" xfId="18" xr:uid="{00000000-0005-0000-0000-000005000000}"/>
    <cellStyle name="Normal 11 2" xfId="19" xr:uid="{00000000-0005-0000-0000-000006000000}"/>
    <cellStyle name="Normal 2" xfId="6" xr:uid="{00000000-0005-0000-0000-000007000000}"/>
    <cellStyle name="Normal 2 2" xfId="11" xr:uid="{00000000-0005-0000-0000-000008000000}"/>
    <cellStyle name="Normal 3" xfId="9" xr:uid="{00000000-0005-0000-0000-000009000000}"/>
    <cellStyle name="Normal 3 2" xfId="12" xr:uid="{00000000-0005-0000-0000-00000A000000}"/>
    <cellStyle name="Normal 4" xfId="10" xr:uid="{00000000-0005-0000-0000-00000B000000}"/>
    <cellStyle name="Normal 5" xfId="13" xr:uid="{00000000-0005-0000-0000-00000C000000}"/>
    <cellStyle name="Normal 6" xfId="15" xr:uid="{00000000-0005-0000-0000-00000D000000}"/>
    <cellStyle name="Normal 7" xfId="14" xr:uid="{00000000-0005-0000-0000-00000E000000}"/>
    <cellStyle name="Normal 8" xfId="16" xr:uid="{00000000-0005-0000-0000-00000F000000}"/>
    <cellStyle name="Normal 9" xfId="17" xr:uid="{00000000-0005-0000-0000-000010000000}"/>
    <cellStyle name="Title" xfId="1" builtinId="15"/>
    <cellStyle name="Title 2" xfId="4" xr:uid="{00000000-0005-0000-0000-000012000000}"/>
    <cellStyle name="Total" xfId="3" builtinId="2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4384"/>
      <color rgb="FFFF9999"/>
      <color rgb="FF3C5FF4"/>
      <color rgb="FFFF66CC"/>
      <color rgb="FFD55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F18" sqref="F18"/>
    </sheetView>
  </sheetViews>
  <sheetFormatPr defaultRowHeight="15" x14ac:dyDescent="0.25"/>
  <cols>
    <col min="1" max="1" width="38.7109375" customWidth="1"/>
    <col min="2" max="2" width="21.28515625" customWidth="1"/>
    <col min="3" max="3" width="36.5703125" customWidth="1"/>
    <col min="4" max="4" width="22.7109375" customWidth="1"/>
    <col min="5" max="5" width="13" customWidth="1"/>
    <col min="6" max="6" width="12.28515625" customWidth="1"/>
    <col min="7" max="7" width="0.7109375" hidden="1" customWidth="1"/>
    <col min="8" max="8" width="70.85546875" customWidth="1"/>
    <col min="9" max="9" width="23.5703125" style="14" customWidth="1"/>
    <col min="10" max="11" width="14.7109375" customWidth="1"/>
    <col min="12" max="12" width="14" customWidth="1"/>
    <col min="13" max="13" width="48.7109375" customWidth="1"/>
  </cols>
  <sheetData>
    <row r="1" spans="1:13" ht="24" customHeight="1" x14ac:dyDescent="0.35">
      <c r="A1" s="83" t="s">
        <v>0</v>
      </c>
      <c r="B1" s="83"/>
      <c r="C1" s="83"/>
      <c r="D1" s="83"/>
      <c r="E1" s="83"/>
      <c r="F1" s="83"/>
      <c r="G1" s="83"/>
      <c r="H1" s="84"/>
      <c r="I1" s="23"/>
      <c r="J1" s="1"/>
    </row>
    <row r="2" spans="1:13" ht="23.25" customHeight="1" x14ac:dyDescent="0.35">
      <c r="C2" s="22"/>
      <c r="H2" s="27"/>
      <c r="I2" s="85" t="s">
        <v>1</v>
      </c>
      <c r="J2" s="85"/>
      <c r="K2" s="85"/>
      <c r="L2" s="85"/>
      <c r="M2" s="85"/>
    </row>
    <row r="3" spans="1:13" ht="30.75" thickBot="1" x14ac:dyDescent="0.3">
      <c r="A3" s="20" t="s">
        <v>2</v>
      </c>
      <c r="B3" s="20" t="s">
        <v>3</v>
      </c>
      <c r="C3" s="21"/>
      <c r="D3" s="20" t="s">
        <v>4</v>
      </c>
      <c r="E3" s="20" t="s">
        <v>5</v>
      </c>
      <c r="F3" s="20" t="s">
        <v>6</v>
      </c>
      <c r="H3" s="28" t="s">
        <v>7</v>
      </c>
      <c r="I3" s="61"/>
      <c r="J3" s="20" t="s">
        <v>8</v>
      </c>
      <c r="K3" s="20" t="s">
        <v>9</v>
      </c>
      <c r="L3" s="20" t="s">
        <v>10</v>
      </c>
      <c r="M3" s="20" t="s">
        <v>7</v>
      </c>
    </row>
    <row r="4" spans="1:13" ht="16.5" thickTop="1" x14ac:dyDescent="0.25">
      <c r="C4" s="4" t="s">
        <v>11</v>
      </c>
      <c r="D4" t="s">
        <v>12</v>
      </c>
      <c r="F4" s="11">
        <v>1</v>
      </c>
      <c r="J4" s="40"/>
      <c r="K4" s="41"/>
      <c r="L4" t="s">
        <v>13</v>
      </c>
    </row>
    <row r="5" spans="1:13" x14ac:dyDescent="0.25">
      <c r="C5" s="4"/>
      <c r="F5" s="2"/>
      <c r="J5" s="3"/>
    </row>
    <row r="6" spans="1:13" ht="15.75" x14ac:dyDescent="0.3">
      <c r="A6" s="88" t="s">
        <v>14</v>
      </c>
      <c r="B6" s="89"/>
      <c r="C6" s="89"/>
      <c r="D6" s="89"/>
      <c r="E6" s="89"/>
      <c r="F6" s="89"/>
      <c r="G6" s="89"/>
      <c r="H6" s="89"/>
      <c r="I6" s="64"/>
      <c r="J6" s="65"/>
      <c r="K6" s="65"/>
      <c r="L6" s="65"/>
      <c r="M6" s="65"/>
    </row>
    <row r="7" spans="1:13" ht="15.75" customHeight="1" x14ac:dyDescent="0.25">
      <c r="B7" t="s">
        <v>15</v>
      </c>
      <c r="C7" s="4" t="s">
        <v>16</v>
      </c>
      <c r="D7" t="s">
        <v>17</v>
      </c>
      <c r="E7">
        <v>1</v>
      </c>
      <c r="F7">
        <v>2</v>
      </c>
      <c r="H7" t="s">
        <v>18</v>
      </c>
      <c r="J7" s="41" t="s">
        <v>19</v>
      </c>
      <c r="K7" s="41" t="s">
        <v>19</v>
      </c>
    </row>
    <row r="8" spans="1:13" ht="15.75" x14ac:dyDescent="0.25">
      <c r="C8" s="43" t="s">
        <v>20</v>
      </c>
      <c r="D8" s="36" t="s">
        <v>21</v>
      </c>
      <c r="E8" s="44">
        <v>3</v>
      </c>
      <c r="F8" s="44"/>
      <c r="G8" s="36"/>
      <c r="H8" s="36"/>
      <c r="I8" s="45"/>
      <c r="J8" s="46">
        <f>SUM(J7:J7)</f>
        <v>0</v>
      </c>
      <c r="K8" s="36"/>
      <c r="L8" s="37" t="s">
        <v>13</v>
      </c>
      <c r="M8" t="s">
        <v>22</v>
      </c>
    </row>
    <row r="9" spans="1:13" ht="15.75" x14ac:dyDescent="0.25">
      <c r="C9" s="47" t="s">
        <v>23</v>
      </c>
      <c r="D9" s="48" t="s">
        <v>17</v>
      </c>
      <c r="E9" s="48"/>
      <c r="F9" s="38">
        <v>17</v>
      </c>
      <c r="G9" s="48"/>
      <c r="H9" s="48"/>
      <c r="I9" s="49"/>
      <c r="J9" s="50"/>
      <c r="K9" s="38">
        <f>SUM(K7:K7)</f>
        <v>0</v>
      </c>
      <c r="L9" s="39" t="s">
        <v>13</v>
      </c>
      <c r="M9" t="s">
        <v>22</v>
      </c>
    </row>
    <row r="10" spans="1:13" x14ac:dyDescent="0.25">
      <c r="J10" s="3"/>
    </row>
    <row r="11" spans="1:13" x14ac:dyDescent="0.25">
      <c r="C11" s="5"/>
      <c r="F11" s="5"/>
      <c r="H11" s="29"/>
      <c r="I11" s="33"/>
      <c r="J11" s="26"/>
    </row>
    <row r="12" spans="1:13" ht="15.75" x14ac:dyDescent="0.3">
      <c r="A12" s="88" t="s">
        <v>24</v>
      </c>
      <c r="B12" s="89"/>
      <c r="C12" s="89"/>
      <c r="D12" s="89"/>
      <c r="E12" s="89"/>
      <c r="F12" s="89"/>
      <c r="G12" s="89"/>
      <c r="H12" s="89"/>
      <c r="I12" s="64"/>
      <c r="J12" s="65"/>
      <c r="K12" s="65"/>
      <c r="L12" s="65"/>
      <c r="M12" s="65"/>
    </row>
    <row r="13" spans="1:13" ht="15.75" x14ac:dyDescent="0.25">
      <c r="C13" s="51" t="s">
        <v>25</v>
      </c>
      <c r="D13" s="52" t="s">
        <v>26</v>
      </c>
      <c r="E13" s="60">
        <v>0</v>
      </c>
      <c r="F13" s="53">
        <v>0.5</v>
      </c>
      <c r="G13" s="52"/>
      <c r="H13" s="66" t="s">
        <v>84</v>
      </c>
      <c r="I13" s="54"/>
      <c r="J13" s="62" t="s">
        <v>27</v>
      </c>
      <c r="K13" s="62" t="s">
        <v>27</v>
      </c>
      <c r="L13" s="59" t="s">
        <v>13</v>
      </c>
    </row>
    <row r="14" spans="1:13" x14ac:dyDescent="0.25">
      <c r="C14" s="4"/>
      <c r="F14" s="2"/>
      <c r="J14" s="3"/>
    </row>
    <row r="15" spans="1:13" ht="15.75" x14ac:dyDescent="0.3">
      <c r="A15" s="88" t="s">
        <v>28</v>
      </c>
      <c r="B15" s="89"/>
      <c r="C15" s="89"/>
      <c r="D15" s="89"/>
      <c r="E15" s="89"/>
      <c r="F15" s="89"/>
      <c r="G15" s="89"/>
      <c r="H15" s="89"/>
      <c r="I15" s="64"/>
      <c r="J15" s="65"/>
      <c r="K15" s="65"/>
      <c r="L15" s="65"/>
      <c r="M15" s="65"/>
    </row>
    <row r="16" spans="1:13" x14ac:dyDescent="0.25">
      <c r="C16" s="1" t="s">
        <v>29</v>
      </c>
      <c r="D16" t="s">
        <v>30</v>
      </c>
      <c r="F16" s="2">
        <v>0.5</v>
      </c>
      <c r="J16" s="3"/>
      <c r="K16" s="2"/>
      <c r="L16" s="42" t="s">
        <v>13</v>
      </c>
    </row>
    <row r="17" spans="3:14" x14ac:dyDescent="0.25">
      <c r="C17" s="1" t="s">
        <v>31</v>
      </c>
      <c r="D17" t="s">
        <v>32</v>
      </c>
      <c r="F17" s="2">
        <v>3</v>
      </c>
      <c r="H17" t="s">
        <v>33</v>
      </c>
      <c r="J17" s="3"/>
      <c r="K17" s="2"/>
      <c r="L17" s="42" t="s">
        <v>13</v>
      </c>
    </row>
    <row r="18" spans="3:14" x14ac:dyDescent="0.25">
      <c r="C18" s="1" t="s">
        <v>34</v>
      </c>
      <c r="D18" t="s">
        <v>35</v>
      </c>
      <c r="F18" s="2">
        <v>5</v>
      </c>
      <c r="H18" t="s">
        <v>36</v>
      </c>
      <c r="J18" s="3"/>
      <c r="K18" s="2"/>
      <c r="L18" s="42" t="s">
        <v>13</v>
      </c>
    </row>
    <row r="19" spans="3:14" x14ac:dyDescent="0.25">
      <c r="C19" s="1" t="s">
        <v>37</v>
      </c>
      <c r="D19" t="s">
        <v>38</v>
      </c>
      <c r="F19" s="2">
        <v>1</v>
      </c>
      <c r="J19" s="3"/>
      <c r="K19" s="2"/>
      <c r="L19" s="42" t="s">
        <v>13</v>
      </c>
    </row>
    <row r="20" spans="3:14" ht="15.75" x14ac:dyDescent="0.25">
      <c r="C20" s="56" t="s">
        <v>39</v>
      </c>
      <c r="D20" s="52"/>
      <c r="E20" s="52"/>
      <c r="F20" s="57">
        <f>SUM(F16:F19)</f>
        <v>9.5</v>
      </c>
      <c r="G20" s="52"/>
      <c r="H20" s="52"/>
      <c r="I20" s="58"/>
      <c r="J20" s="55"/>
      <c r="K20" s="52"/>
      <c r="L20" s="59">
        <f>SUM(L16:L19)</f>
        <v>0</v>
      </c>
    </row>
    <row r="21" spans="3:14" x14ac:dyDescent="0.25">
      <c r="C21" s="1"/>
      <c r="H21" s="3"/>
      <c r="I21" s="13"/>
      <c r="J21" s="3"/>
    </row>
    <row r="22" spans="3:14" ht="19.5" thickBot="1" x14ac:dyDescent="0.35">
      <c r="D22" s="86" t="s">
        <v>40</v>
      </c>
      <c r="E22" s="87"/>
      <c r="F22" s="24">
        <f>SUM(F4:F5)+F9+E8+SUM(E12:F14)+F20</f>
        <v>31</v>
      </c>
      <c r="I22" s="32" t="s">
        <v>41</v>
      </c>
      <c r="J22" s="24">
        <f>SUM(J6:J7)+SUM(J12:J14)</f>
        <v>0</v>
      </c>
      <c r="K22" s="24">
        <f>SUM(K6:K7)+SUM(K12:K14)</f>
        <v>0</v>
      </c>
      <c r="L22" s="24">
        <f>SUM(L8:L9)+SUM(L12:L14)+SUM(L20)+SUM(L4:L5)</f>
        <v>0</v>
      </c>
    </row>
    <row r="23" spans="3:14" ht="16.5" thickTop="1" thickBot="1" x14ac:dyDescent="0.3">
      <c r="C23" s="1"/>
      <c r="J23" s="3"/>
    </row>
    <row r="24" spans="3:14" ht="24" thickBot="1" x14ac:dyDescent="0.4">
      <c r="C24" s="69" t="s">
        <v>42</v>
      </c>
      <c r="D24" s="69" t="s">
        <v>43</v>
      </c>
      <c r="F24" s="12"/>
      <c r="J24" s="3"/>
      <c r="N24" s="3"/>
    </row>
    <row r="25" spans="3:14" ht="18.75" x14ac:dyDescent="0.3">
      <c r="C25" s="6" t="s">
        <v>44</v>
      </c>
      <c r="D25" s="15">
        <v>40</v>
      </c>
      <c r="F25" s="8"/>
    </row>
    <row r="26" spans="3:14" ht="18.75" x14ac:dyDescent="0.3">
      <c r="C26" s="6" t="s">
        <v>45</v>
      </c>
      <c r="D26" s="16">
        <f>F22</f>
        <v>31</v>
      </c>
      <c r="F26" s="8"/>
      <c r="J26" s="3"/>
    </row>
    <row r="27" spans="3:14" ht="18.75" x14ac:dyDescent="0.3">
      <c r="C27" s="6" t="s">
        <v>46</v>
      </c>
      <c r="D27" s="16">
        <f>D26-D25</f>
        <v>-9</v>
      </c>
      <c r="F27" s="9"/>
      <c r="J27" s="3"/>
    </row>
    <row r="28" spans="3:14" ht="18.75" x14ac:dyDescent="0.3">
      <c r="C28" s="6" t="s">
        <v>47</v>
      </c>
      <c r="D28" s="18">
        <f>D27/D25</f>
        <v>-0.22500000000000001</v>
      </c>
      <c r="F28" s="9"/>
      <c r="J28" s="3"/>
    </row>
    <row r="29" spans="3:14" ht="18.75" x14ac:dyDescent="0.3">
      <c r="C29" s="16" t="s">
        <v>48</v>
      </c>
      <c r="D29" s="63">
        <f>L22</f>
        <v>0</v>
      </c>
      <c r="F29" s="9"/>
      <c r="J29" s="3"/>
    </row>
    <row r="30" spans="3:14" ht="19.5" thickBot="1" x14ac:dyDescent="0.35">
      <c r="C30" s="19" t="s">
        <v>49</v>
      </c>
      <c r="D30" s="17">
        <f>(L22-D25)/D25</f>
        <v>-1</v>
      </c>
      <c r="H30" s="30" t="s">
        <v>50</v>
      </c>
      <c r="I30" s="35"/>
      <c r="J30" s="1"/>
      <c r="K30" s="3"/>
      <c r="L30" s="3"/>
    </row>
    <row r="31" spans="3:14" ht="149.25" customHeight="1" x14ac:dyDescent="0.25">
      <c r="C31" s="1"/>
      <c r="H31" s="31" t="s">
        <v>51</v>
      </c>
      <c r="I31" s="34"/>
      <c r="J31" s="1"/>
      <c r="K31" s="3"/>
      <c r="L31" s="3"/>
    </row>
    <row r="32" spans="3:14" x14ac:dyDescent="0.25">
      <c r="C32" s="12"/>
      <c r="D32" s="1"/>
      <c r="E32" s="1"/>
      <c r="J32" s="1"/>
    </row>
    <row r="33" spans="3:10" x14ac:dyDescent="0.25">
      <c r="C33" s="10"/>
      <c r="D33" s="7"/>
      <c r="E33" s="7"/>
      <c r="J33" s="1"/>
    </row>
    <row r="34" spans="3:10" x14ac:dyDescent="0.25">
      <c r="C34" s="1"/>
      <c r="D34" s="1"/>
      <c r="E34" s="1"/>
      <c r="J34" s="1"/>
    </row>
    <row r="35" spans="3:10" x14ac:dyDescent="0.25">
      <c r="C35" s="1"/>
      <c r="D35" s="1"/>
      <c r="E35" s="1"/>
      <c r="J35" s="1"/>
    </row>
    <row r="36" spans="3:10" x14ac:dyDescent="0.25">
      <c r="C36" s="1"/>
      <c r="J36" s="1"/>
    </row>
    <row r="37" spans="3:10" x14ac:dyDescent="0.25">
      <c r="C37" s="1"/>
      <c r="J37" s="1"/>
    </row>
  </sheetData>
  <mergeCells count="6">
    <mergeCell ref="A1:H1"/>
    <mergeCell ref="I2:M2"/>
    <mergeCell ref="D22:E22"/>
    <mergeCell ref="A6:H6"/>
    <mergeCell ref="A12:H12"/>
    <mergeCell ref="A15:H15"/>
  </mergeCells>
  <conditionalFormatting sqref="D28 D30">
    <cfRule type="cellIs" dxfId="2" priority="3" operator="greaterThan">
      <formula>0.2</formula>
    </cfRule>
    <cfRule type="cellIs" dxfId="1" priority="4" operator="between">
      <formula>0.1</formula>
      <formula>0.2</formula>
    </cfRule>
    <cfRule type="cellIs" dxfId="0" priority="5" operator="lessThan">
      <formula>0.1</formula>
    </cfRule>
  </conditionalFormatting>
  <conditionalFormatting sqref="H16:I18 H11:I11">
    <cfRule type="colorScale" priority="1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3:M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8927-5DC3-4862-9822-DC15A58F1E57}">
  <dimension ref="A1:J41"/>
  <sheetViews>
    <sheetView zoomScale="70" zoomScaleNormal="70" workbookViewId="0">
      <selection activeCell="H11" sqref="H11"/>
    </sheetView>
  </sheetViews>
  <sheetFormatPr defaultColWidth="8.85546875" defaultRowHeight="18.75" x14ac:dyDescent="0.3"/>
  <cols>
    <col min="1" max="1" width="75.7109375" style="9" customWidth="1"/>
    <col min="2" max="2" width="67" style="9" customWidth="1"/>
    <col min="3" max="3" width="20.7109375" style="9" customWidth="1"/>
    <col min="4" max="4" width="69.42578125" style="9" customWidth="1"/>
    <col min="5" max="5" width="28.28515625" style="9" customWidth="1"/>
    <col min="6" max="6" width="22.42578125" style="9" customWidth="1"/>
    <col min="7" max="7" width="18.5703125" style="9" customWidth="1"/>
    <col min="8" max="8" width="18.140625" style="9" customWidth="1"/>
    <col min="9" max="9" width="59.5703125" style="9" customWidth="1"/>
    <col min="10" max="10" width="79.42578125" style="9" customWidth="1"/>
    <col min="11" max="16384" width="8.85546875" style="9"/>
  </cols>
  <sheetData>
    <row r="1" spans="1:10" x14ac:dyDescent="0.3">
      <c r="A1" s="70" t="s">
        <v>15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9.5" thickBot="1" x14ac:dyDescent="0.35">
      <c r="A2" s="71" t="s">
        <v>52</v>
      </c>
      <c r="B2" s="71" t="s">
        <v>53</v>
      </c>
      <c r="C2" s="71" t="s">
        <v>54</v>
      </c>
      <c r="D2" s="71" t="s">
        <v>55</v>
      </c>
      <c r="E2" s="71" t="s">
        <v>56</v>
      </c>
      <c r="F2" s="71"/>
      <c r="G2" s="72" t="s">
        <v>57</v>
      </c>
      <c r="H2" s="72" t="s">
        <v>58</v>
      </c>
      <c r="I2" s="71" t="s">
        <v>7</v>
      </c>
      <c r="J2" s="73" t="s">
        <v>59</v>
      </c>
    </row>
    <row r="3" spans="1:10" ht="19.5" thickTop="1" x14ac:dyDescent="0.3">
      <c r="A3" s="9" t="s">
        <v>60</v>
      </c>
      <c r="B3" s="9" t="s">
        <v>61</v>
      </c>
      <c r="C3" s="74">
        <v>228689</v>
      </c>
      <c r="D3" s="75" t="s">
        <v>62</v>
      </c>
      <c r="G3" s="9">
        <v>0.25</v>
      </c>
      <c r="H3" s="9">
        <v>0.5</v>
      </c>
      <c r="I3" s="76"/>
      <c r="J3" s="77"/>
    </row>
    <row r="4" spans="1:10" x14ac:dyDescent="0.3">
      <c r="A4" s="9" t="s">
        <v>63</v>
      </c>
      <c r="B4" s="9" t="s">
        <v>61</v>
      </c>
      <c r="C4" s="74">
        <v>231083</v>
      </c>
      <c r="D4" s="75" t="s">
        <v>64</v>
      </c>
      <c r="G4" s="9">
        <v>0.25</v>
      </c>
      <c r="H4" s="9">
        <v>0.25</v>
      </c>
      <c r="I4" s="76"/>
      <c r="J4" s="77"/>
    </row>
    <row r="5" spans="1:10" x14ac:dyDescent="0.3">
      <c r="A5" s="9" t="s">
        <v>65</v>
      </c>
      <c r="B5" s="9" t="s">
        <v>61</v>
      </c>
      <c r="C5" s="74">
        <v>233500</v>
      </c>
      <c r="D5" s="75" t="s">
        <v>66</v>
      </c>
      <c r="G5" s="9">
        <v>0.25</v>
      </c>
      <c r="H5" s="9">
        <v>0.75</v>
      </c>
      <c r="I5" s="76"/>
      <c r="J5" s="77"/>
    </row>
    <row r="6" spans="1:10" x14ac:dyDescent="0.3">
      <c r="A6" s="9" t="s">
        <v>67</v>
      </c>
      <c r="B6" s="9" t="s">
        <v>61</v>
      </c>
      <c r="C6" s="74">
        <v>269207</v>
      </c>
      <c r="D6" s="75" t="s">
        <v>85</v>
      </c>
      <c r="G6" s="9">
        <v>0.25</v>
      </c>
      <c r="H6" s="9">
        <v>0.5</v>
      </c>
      <c r="I6" s="78"/>
      <c r="J6" s="77"/>
    </row>
    <row r="7" spans="1:10" x14ac:dyDescent="0.3">
      <c r="A7" s="9" t="s">
        <v>88</v>
      </c>
      <c r="B7" s="9" t="s">
        <v>61</v>
      </c>
      <c r="C7" s="74">
        <v>225471</v>
      </c>
      <c r="D7" s="75" t="s">
        <v>87</v>
      </c>
      <c r="G7" s="9">
        <v>1</v>
      </c>
      <c r="H7" s="9">
        <v>8</v>
      </c>
      <c r="I7" s="78"/>
      <c r="J7" s="77"/>
    </row>
    <row r="8" spans="1:10" x14ac:dyDescent="0.3">
      <c r="A8" s="9" t="s">
        <v>89</v>
      </c>
      <c r="B8" s="9" t="s">
        <v>61</v>
      </c>
      <c r="C8" s="74">
        <v>235679</v>
      </c>
      <c r="D8" s="75" t="s">
        <v>86</v>
      </c>
      <c r="G8" s="9">
        <v>1</v>
      </c>
      <c r="H8" s="9">
        <v>7</v>
      </c>
      <c r="I8" s="78"/>
      <c r="J8" s="77"/>
    </row>
    <row r="9" spans="1:10" x14ac:dyDescent="0.3">
      <c r="C9" s="74"/>
      <c r="D9" s="75"/>
      <c r="E9" s="75"/>
      <c r="F9" s="8" t="s">
        <v>68</v>
      </c>
      <c r="G9" s="8">
        <f>SUM(G3:G8)</f>
        <v>3</v>
      </c>
      <c r="H9" s="8">
        <f>SUM(H3:H8)</f>
        <v>17</v>
      </c>
      <c r="I9" s="81"/>
    </row>
    <row r="10" spans="1:10" x14ac:dyDescent="0.3">
      <c r="C10" s="74"/>
      <c r="D10" s="75"/>
      <c r="E10" s="75"/>
      <c r="F10" s="8"/>
      <c r="G10" s="8"/>
      <c r="H10" s="8"/>
      <c r="I10" s="76"/>
    </row>
    <row r="11" spans="1:10" x14ac:dyDescent="0.3">
      <c r="C11" s="74"/>
      <c r="D11" s="75"/>
      <c r="I11" s="76"/>
      <c r="J11" s="80"/>
    </row>
    <row r="12" spans="1:10" x14ac:dyDescent="0.3">
      <c r="C12" s="74"/>
      <c r="D12" s="75"/>
      <c r="I12" s="76"/>
      <c r="J12" s="77"/>
    </row>
    <row r="13" spans="1:10" x14ac:dyDescent="0.3">
      <c r="C13" s="74"/>
      <c r="D13" s="75"/>
      <c r="E13" s="75"/>
      <c r="F13" s="8"/>
      <c r="G13" s="8"/>
      <c r="H13" s="8"/>
      <c r="I13" s="81"/>
    </row>
    <row r="14" spans="1:10" x14ac:dyDescent="0.3">
      <c r="C14" s="74"/>
      <c r="D14" s="75"/>
      <c r="E14" s="75"/>
      <c r="F14" s="8"/>
      <c r="G14" s="8"/>
      <c r="H14" s="8"/>
      <c r="I14" s="76"/>
    </row>
    <row r="15" spans="1:10" x14ac:dyDescent="0.3">
      <c r="C15" s="74"/>
      <c r="D15" s="75"/>
      <c r="E15" s="75"/>
      <c r="I15" s="76"/>
      <c r="J15" s="80"/>
    </row>
    <row r="16" spans="1:10" x14ac:dyDescent="0.3">
      <c r="C16" s="74"/>
      <c r="D16" s="75"/>
      <c r="E16" s="75"/>
      <c r="I16" s="76"/>
      <c r="J16" s="77"/>
    </row>
    <row r="17" spans="1:10" x14ac:dyDescent="0.3">
      <c r="C17" s="74"/>
      <c r="D17" s="75"/>
      <c r="E17" s="75"/>
      <c r="F17" s="8"/>
      <c r="G17" s="8"/>
      <c r="H17" s="8"/>
    </row>
    <row r="18" spans="1:10" x14ac:dyDescent="0.3">
      <c r="C18" s="74"/>
      <c r="D18" s="75"/>
      <c r="E18" s="75"/>
      <c r="F18" s="8"/>
      <c r="G18" s="8"/>
      <c r="H18" s="8"/>
    </row>
    <row r="19" spans="1:10" x14ac:dyDescent="0.3">
      <c r="C19" s="74"/>
      <c r="D19" s="75"/>
      <c r="E19" s="75"/>
      <c r="J19" s="77"/>
    </row>
    <row r="20" spans="1:10" x14ac:dyDescent="0.3">
      <c r="C20" s="74"/>
      <c r="D20" s="75"/>
      <c r="E20" s="75"/>
      <c r="J20" s="80"/>
    </row>
    <row r="21" spans="1:10" x14ac:dyDescent="0.3">
      <c r="C21" s="74"/>
      <c r="D21" s="75"/>
      <c r="E21" s="75"/>
      <c r="F21" s="8"/>
      <c r="G21" s="8"/>
      <c r="H21" s="8"/>
    </row>
    <row r="22" spans="1:10" x14ac:dyDescent="0.3">
      <c r="C22" s="74"/>
      <c r="D22" s="75"/>
      <c r="E22" s="75"/>
      <c r="J22" s="77"/>
    </row>
    <row r="23" spans="1:10" x14ac:dyDescent="0.3">
      <c r="C23" s="74"/>
      <c r="D23" s="75"/>
      <c r="E23" s="75"/>
      <c r="J23" s="77"/>
    </row>
    <row r="24" spans="1:10" x14ac:dyDescent="0.3">
      <c r="A24" s="82"/>
      <c r="B24" s="82"/>
      <c r="C24" s="74"/>
      <c r="D24" s="75"/>
      <c r="E24" s="75"/>
      <c r="J24" s="77"/>
    </row>
    <row r="25" spans="1:10" x14ac:dyDescent="0.3">
      <c r="C25" s="74"/>
      <c r="D25" s="75"/>
      <c r="E25" s="75"/>
      <c r="J25" s="77"/>
    </row>
    <row r="26" spans="1:10" x14ac:dyDescent="0.3">
      <c r="C26" s="74"/>
      <c r="D26" s="75"/>
      <c r="E26" s="75"/>
      <c r="J26" s="77"/>
    </row>
    <row r="27" spans="1:10" x14ac:dyDescent="0.3">
      <c r="C27" s="74"/>
      <c r="D27" s="75"/>
      <c r="E27" s="75"/>
      <c r="J27" s="77"/>
    </row>
    <row r="28" spans="1:10" x14ac:dyDescent="0.3">
      <c r="C28" s="74"/>
      <c r="D28" s="75"/>
      <c r="E28" s="75"/>
      <c r="J28" s="77"/>
    </row>
    <row r="29" spans="1:10" x14ac:dyDescent="0.3">
      <c r="C29" s="74"/>
      <c r="D29" s="75"/>
      <c r="E29" s="75"/>
      <c r="J29" s="77"/>
    </row>
    <row r="30" spans="1:10" x14ac:dyDescent="0.3">
      <c r="C30" s="74"/>
      <c r="D30" s="75"/>
      <c r="E30" s="75"/>
      <c r="J30" s="77"/>
    </row>
    <row r="31" spans="1:10" x14ac:dyDescent="0.3">
      <c r="C31" s="74"/>
      <c r="D31" s="75"/>
      <c r="E31" s="75"/>
      <c r="J31" s="77"/>
    </row>
    <row r="32" spans="1:10" x14ac:dyDescent="0.3">
      <c r="C32" s="74"/>
      <c r="D32" s="75"/>
      <c r="E32" s="75"/>
      <c r="J32" s="77"/>
    </row>
    <row r="33" spans="3:10" x14ac:dyDescent="0.3">
      <c r="C33" s="79"/>
      <c r="F33" s="8"/>
      <c r="G33" s="8"/>
      <c r="H33" s="8"/>
    </row>
    <row r="34" spans="3:10" x14ac:dyDescent="0.3">
      <c r="C34" s="79"/>
      <c r="F34" s="8"/>
      <c r="G34" s="8"/>
      <c r="H34" s="8"/>
    </row>
    <row r="35" spans="3:10" x14ac:dyDescent="0.3">
      <c r="C35" s="74"/>
      <c r="D35" s="75"/>
      <c r="E35" s="75"/>
      <c r="J35" s="77"/>
    </row>
    <row r="36" spans="3:10" x14ac:dyDescent="0.3">
      <c r="C36" s="74"/>
      <c r="D36" s="75"/>
      <c r="E36" s="75"/>
      <c r="J36" s="77"/>
    </row>
    <row r="37" spans="3:10" x14ac:dyDescent="0.3">
      <c r="C37" s="74"/>
      <c r="D37" s="75"/>
      <c r="E37" s="75"/>
      <c r="J37" s="77"/>
    </row>
    <row r="38" spans="3:10" x14ac:dyDescent="0.3">
      <c r="C38" s="74"/>
      <c r="D38" s="75"/>
      <c r="E38" s="75"/>
      <c r="J38" s="77"/>
    </row>
    <row r="39" spans="3:10" x14ac:dyDescent="0.3">
      <c r="C39" s="74"/>
      <c r="D39" s="75"/>
      <c r="E39" s="75"/>
      <c r="J39" s="77"/>
    </row>
    <row r="40" spans="3:10" x14ac:dyDescent="0.3">
      <c r="C40" s="79"/>
      <c r="F40" s="8"/>
      <c r="G40" s="8"/>
      <c r="H40" s="8"/>
    </row>
    <row r="41" spans="3:10" x14ac:dyDescent="0.3">
      <c r="C41" s="74"/>
      <c r="D41" s="75"/>
      <c r="E41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13" sqref="B13"/>
    </sheetView>
  </sheetViews>
  <sheetFormatPr defaultRowHeight="15" x14ac:dyDescent="0.25"/>
  <cols>
    <col min="1" max="1" width="20" customWidth="1"/>
    <col min="2" max="2" width="118.5703125" customWidth="1"/>
  </cols>
  <sheetData>
    <row r="1" spans="1:2" ht="15" customHeight="1" x14ac:dyDescent="0.25">
      <c r="A1" s="91" t="s">
        <v>69</v>
      </c>
      <c r="B1" s="92"/>
    </row>
    <row r="2" spans="1:2" ht="15" customHeight="1" x14ac:dyDescent="0.25">
      <c r="A2" s="67"/>
      <c r="B2" s="68"/>
    </row>
    <row r="3" spans="1:2" ht="135" customHeight="1" x14ac:dyDescent="0.25">
      <c r="A3" s="90" t="s">
        <v>70</v>
      </c>
      <c r="B3" s="87"/>
    </row>
    <row r="6" spans="1:2" ht="15" customHeight="1" x14ac:dyDescent="0.25">
      <c r="A6" s="67" t="s">
        <v>71</v>
      </c>
    </row>
    <row r="7" spans="1:2" ht="15" customHeight="1" x14ac:dyDescent="0.25">
      <c r="A7" s="67"/>
    </row>
    <row r="8" spans="1:2" x14ac:dyDescent="0.25">
      <c r="A8" t="s">
        <v>72</v>
      </c>
      <c r="B8" s="25" t="s">
        <v>73</v>
      </c>
    </row>
    <row r="9" spans="1:2" x14ac:dyDescent="0.25">
      <c r="A9" t="s">
        <v>74</v>
      </c>
      <c r="B9" s="25" t="s">
        <v>75</v>
      </c>
    </row>
    <row r="10" spans="1:2" x14ac:dyDescent="0.25">
      <c r="A10" t="s">
        <v>76</v>
      </c>
      <c r="B10" s="25" t="s">
        <v>77</v>
      </c>
    </row>
    <row r="11" spans="1:2" x14ac:dyDescent="0.25">
      <c r="A11" t="s">
        <v>78</v>
      </c>
      <c r="B11" s="25" t="s">
        <v>79</v>
      </c>
    </row>
    <row r="12" spans="1:2" x14ac:dyDescent="0.25">
      <c r="A12" t="s">
        <v>80</v>
      </c>
      <c r="B12" s="25" t="s">
        <v>81</v>
      </c>
    </row>
    <row r="13" spans="1:2" x14ac:dyDescent="0.25">
      <c r="A13" t="s">
        <v>82</v>
      </c>
      <c r="B13" s="25" t="s">
        <v>83</v>
      </c>
    </row>
  </sheetData>
  <mergeCells count="2">
    <mergeCell ref="A3:B3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85621-46ae-4b3c-af49-c3aceeb6a2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B2671B3E83440BA1B7F4A7463265C" ma:contentTypeVersion="17" ma:contentTypeDescription="Create a new document." ma:contentTypeScope="" ma:versionID="ecb70b0300f20eab93faf7f9835f03f0">
  <xsd:schema xmlns:xsd="http://www.w3.org/2001/XMLSchema" xmlns:xs="http://www.w3.org/2001/XMLSchema" xmlns:p="http://schemas.microsoft.com/office/2006/metadata/properties" xmlns:ns3="a47dc11a-df36-4689-b640-f667ddd8ae53" xmlns:ns4="36085621-46ae-4b3c-af49-c3aceeb6a2b3" targetNamespace="http://schemas.microsoft.com/office/2006/metadata/properties" ma:root="true" ma:fieldsID="57e29e269cda45eb45463436f4898776" ns3:_="" ns4:_="">
    <xsd:import namespace="a47dc11a-df36-4689-b640-f667ddd8ae53"/>
    <xsd:import namespace="36085621-46ae-4b3c-af49-c3aceeb6a2b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dc11a-df36-4689-b640-f667ddd8ae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85621-46ae-4b3c-af49-c3aceeb6a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44750C-4A30-4B70-BC94-03E9E71E3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F2F12-854D-479C-8733-8C9CA64D8A1B}">
  <ds:schemaRefs>
    <ds:schemaRef ds:uri="http://schemas.openxmlformats.org/package/2006/metadata/core-properties"/>
    <ds:schemaRef ds:uri="36085621-46ae-4b3c-af49-c3aceeb6a2b3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47dc11a-df36-4689-b640-f667ddd8ae53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5FD2477-2AB0-44FA-9FC4-CF847CB0F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7dc11a-df36-4689-b640-f667ddd8ae53"/>
    <ds:schemaRef ds:uri="36085621-46ae-4b3c-af49-c3aceeb6a2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Change Requests</vt:lpstr>
      <vt:lpstr>Template Info &amp; Doc Control</vt:lpstr>
    </vt:vector>
  </TitlesOfParts>
  <Manager/>
  <Company>PEER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 STP</dc:title>
  <dc:subject/>
  <dc:creator>Lev Cocarell</dc:creator>
  <cp:keywords/>
  <dc:description/>
  <cp:lastModifiedBy>Lev Cocarell</cp:lastModifiedBy>
  <cp:revision/>
  <dcterms:created xsi:type="dcterms:W3CDTF">2015-12-23T20:25:42Z</dcterms:created>
  <dcterms:modified xsi:type="dcterms:W3CDTF">2025-09-11T17:24:38Z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0x010100C15B2671B3E83440BA1B7F4A7463265C</vt:lpwstr>
  </property>
  <property fmtid="{D5CDD505-2E9C-101B-9397-08002B2CF9AE}" pid="3" name="MediaServiceImageTags">
    <vt:lpwstr/>
  </property>
</Properties>
</file>